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f538cf63b04421a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523AFE5C-B803-45A6-8E49-5D14ECA0F12F}" xr6:coauthVersionLast="47" xr6:coauthVersionMax="47" xr10:uidLastSave="{00000000-0000-0000-0000-000000000000}"/>
  <bookViews>
    <workbookView xWindow="-108" yWindow="-108" windowWidth="23256" windowHeight="12456" activeTab="4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  <sheet name="Preview" sheetId="10" r:id="rId5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8" i="10" l="1"/>
  <c r="AA26" i="10"/>
  <c r="Z26" i="10"/>
  <c r="Y26" i="10"/>
  <c r="S1" i="10"/>
  <c r="R8" i="10"/>
  <c r="R27" i="10"/>
  <c r="Q27" i="10"/>
  <c r="P27" i="10"/>
  <c r="J1" i="10"/>
  <c r="I8" i="10"/>
  <c r="I30" i="10"/>
  <c r="H30" i="10"/>
  <c r="G30" i="10"/>
  <c r="A1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<sst xmlns="http://schemas.openxmlformats.org/spreadsheetml/2006/main" count="3563" uniqueCount="721">
  <si>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</si>
  <si>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</si>
  <si>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</si>
  <si>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</si>
  <si>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</si>
  <si>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</si>
  <si>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</si>
  <si>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</si>
  <si>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</si>
  <si>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</si>
  <si>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</si>
  <si>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</si>
  <si>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</si>
  <si>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</si>
  <si>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</si>
  <si>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</si>
  <si>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</si>
  <si>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</si>
  <si>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</si>
  <si>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</si>
  <si>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</si>
  <si>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</si>
  <si>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</si>
  <si>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</si>
  <si>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</si>
  <si>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</si>
  <si>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</si>
  <si>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</si>
  <si>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</si>
  <si>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</si>
  <si>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</si>
  <si>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</si>
  <si>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</si>
  <si>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</si>
  <si>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</si>
  <si>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</si>
  <si>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</si>
  <si>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</si>
  <si>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</si>
  <si>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</si>
  <si>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</si>
  <si>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</si>
  <si>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</si>
  <si>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</si>
  <si>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</si>
  <si>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</si>
  <si>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</si>
  <si>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</si>
  <si>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</si>
  <si>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</si>
  <si>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</si>
  <si>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</si>
  <si>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</si>
  <si>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</si>
  <si>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</si>
  <si>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</si>
  <si>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</si>
  <si>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</si>
  <si>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</si>
  <si>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</si>
  <si>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</si>
  <si>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</si>
  <si>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</si>
  <si>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</si>
  <si>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</si>
  <si>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</si>
  <si>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</si>
  <si>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</si>
  <si>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</si>
  <si>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</si>
  <si>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</si>
  <si>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</si>
  <si>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</si>
  <si>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</si>
  <si>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</si>
  <si>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</si>
  <si>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</si>
  <si>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</si>
  <si>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</si>
  <si>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</si>
  <si>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</si>
  <si>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</si>
  <si>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</si>
  <si>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</si>
  <si>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</si>
  <si>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</si>
  <si>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</si>
  <si>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</si>
  <si>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</si>
  <si>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</si>
  <si>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</si>
  <si>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</si>
  <si>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</si>
  <si>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</si>
  <si>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</si>
  <si>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</si>
  <si>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</si>
  <si>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</si>
  <si>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</si>
  <si>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</si>
  <si>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</si>
  <si>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</si>
  <si>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</si>
  <si>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</si>
  <si>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</si>
  <si>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</si>
  <si>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</si>
  <si>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</si>
  <si>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</si>
  <si>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</si>
  <si>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</si>
  <si>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</si>
  <si>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</si>
  <si>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</si>
  <si>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</si>
  <si>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</si>
  <si>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</si>
  <si>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</si>
  <si>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</si>
  <si>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</si>
  <si>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</si>
  <si>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</si>
  <si>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</si>
  <si>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</si>
  <si>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</si>
  <si>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</si>
  <si>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</si>
  <si>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</si>
  <si>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</si>
  <si>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</si>
  <si>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</si>
  <si>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</si>
  <si>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</si>
  <si>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</si>
  <si>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</si>
  <si>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</si>
  <si>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</si>
  <si>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</si>
  <si>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</si>
  <si>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</si>
  <si>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</si>
  <si>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</si>
  <si>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</si>
  <si>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</si>
  <si>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</si>
  <si>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</si>
  <si>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</si>
  <si>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</si>
  <si>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</si>
  <si>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</si>
  <si>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</si>
  <si>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</si>
  <si>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</si>
  <si>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</si>
  <si>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</si>
  <si>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</si>
  <si>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</si>
  <si>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</si>
  <si>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</si>
  <si>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</si>
  <si>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</si>
  <si>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</si>
  <si>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</si>
  <si>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</si>
  <si>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</si>
  <si>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</si>
  <si>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</si>
  <si>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</si>
  <si>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</si>
  <si>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</si>
  <si>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</si>
  <si>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</si>
  <si>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</si>
  <si>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</si>
  <si>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</si>
  <si>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</si>
  <si>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</si>
  <si>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</si>
  <si>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</si>
  <si>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</si>
  <si>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</si>
  <si>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</si>
  <si>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</si>
  <si>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</si>
  <si>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</si>
  <si>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</si>
  <si>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</si>
  <si>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</si>
  <si>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</si>
  <si>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</si>
  <si>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</si>
  <si>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</si>
  <si>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</si>
  <si>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</si>
  <si>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</si>
  <si>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</si>
  <si>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</si>
  <si>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</si>
  <si>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</si>
  <si>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</si>
  <si>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</si>
  <si>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</si>
  <si>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</si>
  <si>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</si>
  <si>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</si>
  <si>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</si>
  <si>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</si>
  <si>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</si>
  <si>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</si>
  <si>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</si>
  <si>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</si>
  <si>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</si>
  <si>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</si>
  <si>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</si>
  <si>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</si>
  <si>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</si>
  <si>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</si>
  <si>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</si>
  <si>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</si>
  <si>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</si>
  <si>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</si>
  <si>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</si>
  <si>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</si>
  <si>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</si>
  <si>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</si>
  <si>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</si>
  <si>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</si>
  <si>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</si>
  <si>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</si>
  <si>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</si>
  <si>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</si>
  <si>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</si>
  <si>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</si>
  <si>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</si>
  <si>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</si>
  <si>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</si>
  <si>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</si>
  <si>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</si>
  <si>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</si>
  <si>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</si>
  <si>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</si>
  <si>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</si>
  <si>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</si>
  <si>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</si>
  <si>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</si>
  <si>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</si>
  <si>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</si>
  <si>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</si>
  <si>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</si>
  <si>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</si>
  <si>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</si>
  <si>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</si>
  <si>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</si>
  <si>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</si>
  <si>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</si>
  <si>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</si>
  <si>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</si>
  <si>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</si>
  <si>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</si>
  <si>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</si>
  <si>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</si>
  <si>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</si>
  <si>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</si>
  <si>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</si>
  <si>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</si>
  <si>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</si>
  <si>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</si>
  <si>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</si>
  <si>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</si>
  <si>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</si>
  <si>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</si>
  <si>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</si>
  <si>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</si>
  <si>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</si>
  <si>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</si>
  <si>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</si>
  <si>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</si>
  <si>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</si>
  <si>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</si>
  <si>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</si>
  <si>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</si>
  <si>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</si>
  <si>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</si>
  <si>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</si>
  <si>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</si>
  <si>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</si>
  <si>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</si>
  <si>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</si>
  <si>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</si>
  <si>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</si>
  <si>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</si>
  <si>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</si>
  <si>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</si>
  <si>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</si>
  <si>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</si>
  <si>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</si>
  <si>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</si>
  <si>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</si>
  <si>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</si>
  <si>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</si>
  <si>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</si>
  <si>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</si>
  <si>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</si>
  <si>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</si>
  <si>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</si>
  <si>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</si>
  <si>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</si>
  <si>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</si>
  <si>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</si>
  <si>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</si>
  <si>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</si>
  <si>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</si>
  <si>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</si>
  <si>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</si>
  <si>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</si>
  <si>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</si>
  <si>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</si>
  <si>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</si>
  <si>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</si>
  <si>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</si>
  <si>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</si>
  <si>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</si>
  <si>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</si>
  <si>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</si>
  <si>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</si>
  <si>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</si>
  <si>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</si>
  <si>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</si>
  <si>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</si>
  <si>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</si>
  <si>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</si>
  <si>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</si>
  <si>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</si>
  <si>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</si>
  <si>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</si>
  <si>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</si>
  <si>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</si>
  <si>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</si>
  <si>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</si>
  <si>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</si>
  <si>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</si>
  <si>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</si>
  <si>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</si>
  <si>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</si>
  <si>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</si>
  <si>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</si>
  <si>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</si>
  <si>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</si>
  <si>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</si>
  <si>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</si>
  <si>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</si>
  <si>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</si>
  <si>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</si>
  <si>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</si>
  <si>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</si>
  <si>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</si>
  <si>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</si>
  <si>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</si>
  <si>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</si>
  <si>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</si>
  <si>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</si>
  <si>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</si>
  <si>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</si>
  <si>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</si>
  <si>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</si>
  <si>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</si>
  <si>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</si>
  <si>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</si>
  <si>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</si>
  <si>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</si>
  <si>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</si>
  <si>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</si>
  <si>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</si>
  <si>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</si>
  <si>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</si>
  <si>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</si>
  <si>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</si>
  <si>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</si>
  <si>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</si>
  <si>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</si>
  <si>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</si>
  <si>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</si>
  <si>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</si>
  <si>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</si>
  <si>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</si>
  <si>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</si>
  <si>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</si>
  <si>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</si>
  <si>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</si>
  <si>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</si>
  <si>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</si>
  <si>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</si>
  <si>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</si>
  <si>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</si>
  <si>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</si>
  <si>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</si>
  <si>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</si>
  <si>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</si>
  <si>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</si>
  <si>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</si>
  <si>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</si>
  <si>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</si>
  <si>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</si>
  <si>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</si>
  <si>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</si>
  <si>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</si>
  <si>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</si>
  <si>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</si>
  <si>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</si>
  <si>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</si>
  <si>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</si>
  <si>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</si>
  <si>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</si>
  <si>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</si>
  <si>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</si>
  <si>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</si>
  <si>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</si>
  <si>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</si>
  <si>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</si>
  <si>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</si>
  <si>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</si>
  <si>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</si>
  <si>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</si>
  <si>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</si>
  <si>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</si>
  <si>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</si>
  <si>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</si>
  <si>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</si>
  <si>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</si>
  <si>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</si>
  <si>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</si>
  <si>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</si>
  <si>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</si>
  <si>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</si>
  <si>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</si>
  <si>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</si>
  <si>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</si>
  <si>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</si>
  <si>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</si>
  <si>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</si>
  <si>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</si>
  <si>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</si>
  <si>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</si>
  <si>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</si>
  <si>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</si>
  <si>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</si>
  <si>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</si>
  <si>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</si>
  <si>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</si>
  <si>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</si>
  <si>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</si>
  <si>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</si>
  <si>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</si>
  <si>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</si>
  <si>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</si>
  <si>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</si>
  <si>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</si>
  <si>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</si>
  <si>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</si>
  <si>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</si>
  <si>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</si>
  <si>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</si>
  <si>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</si>
  <si>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</si>
  <si>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</si>
  <si>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</si>
  <si>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</si>
  <si>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</si>
  <si>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</si>
  <si>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</si>
  <si>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</si>
  <si>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</si>
  <si>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</si>
  <si>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</si>
  <si>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</si>
  <si>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</si>
  <si>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</si>
  <si>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</si>
  <si>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</si>
  <si>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</si>
  <si>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</si>
  <si>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</si>
  <si>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</si>
  <si>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</si>
  <si>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</si>
  <si>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</si>
  <si>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</si>
  <si>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</si>
  <si>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</si>
  <si>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</si>
  <si>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</si>
  <si>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</si>
  <si>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</si>
  <si>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</si>
  <si>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</si>
  <si>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</si>
  <si>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</si>
  <si>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</si>
  <si>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</si>
  <si>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</si>
  <si>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</si>
  <si>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</si>
  <si>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</si>
  <si>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</si>
  <si>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</si>
  <si>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</si>
  <si>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</si>
  <si>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</si>
  <si>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</si>
  <si>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</si>
  <si>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</si>
  <si>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</si>
  <si>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</si>
  <si>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</si>
  <si>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</si>
  <si>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</si>
  <si>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</si>
  <si>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</si>
  <si>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</si>
  <si>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</si>
  <si>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</si>
  <si>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</si>
  <si>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</si>
  <si>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</si>
  <si>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</si>
  <si>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</si>
  <si>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</si>
  <si>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</si>
  <si>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</si>
  <si>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</si>
  <si>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</si>
  <si>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</si>
  <si>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</si>
  <si>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</si>
  <si>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</si>
  <si>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</si>
  <si>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</si>
  <si>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</si>
  <si>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</si>
  <si>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</si>
  <si>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</si>
  <si>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</si>
  <si>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</si>
  <si>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</si>
  <si>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</si>
  <si>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</si>
  <si>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</si>
  <si>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</si>
  <si>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</si>
  <si>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</si>
  <si>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</si>
  <si>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</si>
  <si>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</si>
  <si>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</si>
  <si>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</si>
  <si>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</si>
  <si>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</si>
  <si>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</si>
  <si>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</si>
  <si>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</si>
  <si>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</si>
  <si>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</si>
  <si>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</si>
  <si>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</si>
  <si>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</si>
  <si>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</si>
  <si>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</si>
  <si>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</si>
  <si>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</si>
  <si>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</si>
  <si>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</si>
  <si>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</si>
  <si>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</si>
  <si>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</si>
  <si>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</si>
  <si>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</si>
  <si>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</si>
  <si>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</si>
  <si>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</si>
  <si>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</si>
  <si>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</si>
  <si>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</si>
  <si>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</si>
  <si>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</si>
  <si>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</si>
  <si>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</si>
  <si>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</si>
  <si>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</si>
  <si>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</si>
  <si>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</si>
  <si>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</si>
  <si>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</si>
  <si>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</si>
  <si>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</si>
  <si>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</si>
  <si>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</si>
  <si>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</si>
  <si>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</si>
  <si>
    <t>Bonnet Alexandre (1B I1)</t>
  </si>
  <si>
    <t>Caudron Aymeric (1B I3)</t>
  </si>
  <si>
    <t>Matricule.: 5.277.702</t>
  </si>
  <si>
    <t>Campus HELHa</t>
  </si>
  <si>
    <t>Chaussée de Binche, 159 7000 Mons</t>
  </si>
  <si>
    <t>Numero: 065.40.41.44</t>
  </si>
  <si>
    <t>EMail: secretariat.eco.mons@helha.be</t>
  </si>
  <si>
    <t>Nom / Prénom</t>
  </si>
  <si>
    <t>Classe</t>
  </si>
  <si>
    <t>Département Economique et Social</t>
  </si>
  <si>
    <t>Informatique - Développement</t>
  </si>
  <si>
    <t>2024 / 2025</t>
  </si>
  <si>
    <t>RELEVE DE NOTES</t>
  </si>
  <si>
    <t>Crédit</t>
  </si>
  <si>
    <t>réussie</t>
  </si>
  <si>
    <t>BELLOFATO</t>
  </si>
  <si>
    <t>1BI1</t>
  </si>
  <si>
    <t>Bloc 1</t>
  </si>
  <si>
    <t>Code ECTS</t>
  </si>
  <si>
    <t>Nom d'UE / AcAp</t>
  </si>
  <si>
    <t>Qua</t>
  </si>
  <si>
    <t>Notes /10</t>
  </si>
  <si>
    <t>Crédits</t>
  </si>
  <si>
    <t>Crédits obtenue</t>
  </si>
  <si>
    <t>UE</t>
  </si>
  <si>
    <t>ECID1B02ID102</t>
  </si>
  <si>
    <t xml:space="preserve">UE ID102 Langues étr. 1 </t>
  </si>
  <si>
    <t>1 - 2</t>
  </si>
  <si>
    <t/>
  </si>
  <si>
    <t>ECID1B02ID102A</t>
  </si>
  <si>
    <t>Langues étrangères 1</t>
  </si>
  <si>
    <t>ECID1B03ID103</t>
  </si>
  <si>
    <t>UE ID103 Pr. lang. prog.1</t>
  </si>
  <si>
    <t>ECID1B03ID103C</t>
  </si>
  <si>
    <t>Méthodes et pr. de prog.1</t>
  </si>
  <si>
    <t>ECID1B03ID103D</t>
  </si>
  <si>
    <t>Lang. de prog. procédur 1</t>
  </si>
  <si>
    <t>ECID1B04ID104</t>
  </si>
  <si>
    <t xml:space="preserve">UE ID104 Arch. et syst. </t>
  </si>
  <si>
    <t>ECID1B04ID104A</t>
  </si>
  <si>
    <t>Arch. tech. et mat. info.</t>
  </si>
  <si>
    <t>ECID1B05ID105</t>
  </si>
  <si>
    <t xml:space="preserve">UE ID105 Développement 1 </t>
  </si>
  <si>
    <t>ECID1B05ID105C</t>
  </si>
  <si>
    <t>P.O.O. 1</t>
  </si>
  <si>
    <t>ECID1B07ID107</t>
  </si>
  <si>
    <t>UE ID107 Fichiers B.D. 1</t>
  </si>
  <si>
    <t>ECID1B07ID107A</t>
  </si>
  <si>
    <t>Fichiers et B.D.</t>
  </si>
  <si>
    <t>ECID1B12ID112</t>
  </si>
  <si>
    <t xml:space="preserve">UE ID112 Projet </t>
  </si>
  <si>
    <t>ECID1B12ID112B</t>
  </si>
  <si>
    <t>Ateliers logiciels</t>
  </si>
  <si>
    <t>ECID1B12ID112F</t>
  </si>
  <si>
    <t>Projet 1</t>
  </si>
  <si>
    <t>ECID1B14ID114</t>
  </si>
  <si>
    <t>UE ID114 Gestion 1A</t>
  </si>
  <si>
    <t>ECID1B14ID114A</t>
  </si>
  <si>
    <t>Comptabilité 1A</t>
  </si>
  <si>
    <t>ECID1B16ID116</t>
  </si>
  <si>
    <t>UE ID116 Mathématique 1</t>
  </si>
  <si>
    <t>ECID1B16ID116A</t>
  </si>
  <si>
    <t>Mathématique 1</t>
  </si>
  <si>
    <t>Bloc 2</t>
  </si>
  <si>
    <t>ECID2B01ID201</t>
  </si>
  <si>
    <t xml:space="preserve">UE ID201 Mat. appl. tr. d </t>
  </si>
  <si>
    <t>ECID2B01ID201B</t>
  </si>
  <si>
    <t>Traitement de données</t>
  </si>
  <si>
    <t>ECID2B03ID203</t>
  </si>
  <si>
    <t>UE ID203 Lang. de prog.</t>
  </si>
  <si>
    <t>ECID2B03ID203B</t>
  </si>
  <si>
    <t>Langage procédural</t>
  </si>
  <si>
    <t>ECID2B05ID205</t>
  </si>
  <si>
    <t>UE ID205 An. et dével. 1</t>
  </si>
  <si>
    <t>ECID2B05ID205A</t>
  </si>
  <si>
    <t>P.O.O. 3</t>
  </si>
  <si>
    <t>ECID2B05ID205B</t>
  </si>
  <si>
    <t>Analyse et con. de pro. 1</t>
  </si>
  <si>
    <t>ECID2B07ID207</t>
  </si>
  <si>
    <t xml:space="preserve">UE ID207 Exp éc/or en lf. </t>
  </si>
  <si>
    <t>ECID2B07ID207A</t>
  </si>
  <si>
    <t>Com. en langue française</t>
  </si>
  <si>
    <t>ECID2B08ID208</t>
  </si>
  <si>
    <t>UE ID208 Droit</t>
  </si>
  <si>
    <t>ECID2B08ID208A</t>
  </si>
  <si>
    <t>Droit des TIC</t>
  </si>
  <si>
    <t>ECID2B13ID213</t>
  </si>
  <si>
    <t>UE ID213 Tech. internet 2</t>
  </si>
  <si>
    <t>ECID2B13ID213A</t>
  </si>
  <si>
    <t>Technologies Internet 2</t>
  </si>
  <si>
    <t>ECID2B14ID214</t>
  </si>
  <si>
    <t>UE ID214 Fichers B. D. 3</t>
  </si>
  <si>
    <t>ECID2B14ID214A</t>
  </si>
  <si>
    <t>Fichiers et B.D. 3</t>
  </si>
  <si>
    <t>Bloc 3</t>
  </si>
  <si>
    <t>ECID3B03ID303</t>
  </si>
  <si>
    <t>UE ID303 Langues étr. 3</t>
  </si>
  <si>
    <t>ECID3B03ID303B</t>
  </si>
  <si>
    <t>Langues étrangères 3</t>
  </si>
  <si>
    <t>ECID3B04ID304</t>
  </si>
  <si>
    <t>UE ID304 Ethique</t>
  </si>
  <si>
    <t>ECID3B04ID304A</t>
  </si>
  <si>
    <t>Citoyen., éthique et soc.</t>
  </si>
  <si>
    <t>ECID3B05ID305</t>
  </si>
  <si>
    <t>UE ID305 An. et cond proj</t>
  </si>
  <si>
    <t>ECID3B05ID305A</t>
  </si>
  <si>
    <t>Analyse et con. de pro. 3</t>
  </si>
  <si>
    <t>ECID3B06ID306</t>
  </si>
  <si>
    <t>UE ID306 Projet</t>
  </si>
  <si>
    <t>ECID3B06ID306C</t>
  </si>
  <si>
    <t>Projet 3</t>
  </si>
  <si>
    <t>ECID3B07ID307</t>
  </si>
  <si>
    <t>UE ID307 Appl. entr. mult</t>
  </si>
  <si>
    <t>ECID3B07ID307A</t>
  </si>
  <si>
    <t>Appl. entr multi-t. et v.</t>
  </si>
  <si>
    <t>ECID3B08ID308</t>
  </si>
  <si>
    <t>UE ID308 Dévelop. et séc.</t>
  </si>
  <si>
    <t>ECID3B08ID308B</t>
  </si>
  <si>
    <t>Développement jeux vidéo</t>
  </si>
  <si>
    <t>ECID3B12ID312</t>
  </si>
  <si>
    <t>UE ID312 Techno réseau</t>
  </si>
  <si>
    <t>ECID3B12ID312B</t>
  </si>
  <si>
    <t>Réseaux 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</si>
</sst>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i/>
      <sz val="11"/>
      <color rgb="FFFFFFFF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B3E1"/>
        <bgColor indexed="64"/>
      </patternFill>
    </fill>
  </fills>
  <borders count="36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auto="1"/>
      </left>
      <right/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rgb="FF000000"/>
      </right>
      <top style="hair">
        <color rgb="FF000000"/>
      </top>
      <bottom/>
      <diagonal/>
    </border>
    <border>
      <left style="thin">
        <color auto="1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auto="1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auto="1"/>
      </right>
      <top style="hair">
        <color rgb="FF000000"/>
      </top>
      <bottom/>
      <diagonal/>
    </border>
    <border>
      <left style="hair">
        <color rgb="FF000000"/>
      </left>
      <right style="thin">
        <color auto="1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4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0" xfId="1" applyFont="1"/>
    <xf numFmtId="0" fontId="3" fillId="0" borderId="0" xfId="1" applyFont="1" applyFill="1"/>
    <xf numFmtId="0" fontId="0" fillId="0" borderId="0" xfId="1" applyFont="1"/>
    <xf numFmtId="0" fontId="6" fillId="7" borderId="17" xfId="0" applyFont="1" applyFill="1" applyBorder="1"/>
    <xf numFmtId="0" fontId="0" fillId="0" borderId="14" xfId="0" applyBorder="1"/>
    <xf numFmtId="0" fontId="0" fillId="0" borderId="20" xfId="0" applyBorder="1"/>
    <xf numFmtId="0" fontId="6" fillId="7" borderId="18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7" borderId="21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left"/>
    </xf>
    <xf numFmtId="0" fontId="6" fillId="7" borderId="12" xfId="0" applyFont="1" applyFill="1" applyBorder="1" applyAlignment="1">
      <alignment horizontal="left"/>
    </xf>
    <xf numFmtId="49" fontId="0" fillId="8" borderId="24" xfId="0" applyNumberFormat="1" applyFill="1" applyBorder="1" applyAlignment="1">
      <alignment horizontal="left"/>
    </xf>
    <xf numFmtId="0" fontId="0" fillId="8" borderId="24" xfId="0" applyFill="1" applyBorder="1" applyAlignment="1">
      <alignment horizontal="left"/>
    </xf>
    <xf numFmtId="49" fontId="0" fillId="9" borderId="22" xfId="0" applyNumberFormat="1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49" fontId="0" fillId="9" borderId="26" xfId="0" applyNumberFormat="1" applyFill="1" applyBorder="1" applyAlignment="1">
      <alignment horizontal="left"/>
    </xf>
    <xf numFmtId="0" fontId="0" fillId="9" borderId="26" xfId="0" applyFill="1" applyBorder="1" applyAlignment="1">
      <alignment horizontal="left"/>
    </xf>
    <xf numFmtId="49" fontId="0" fillId="8" borderId="27" xfId="0" applyNumberFormat="1" applyFill="1" applyBorder="1" applyAlignment="1">
      <alignment horizontal="left"/>
    </xf>
    <xf numFmtId="49" fontId="0" fillId="9" borderId="28" xfId="0" applyNumberFormat="1" applyFill="1" applyBorder="1" applyAlignment="1">
      <alignment horizontal="left"/>
    </xf>
    <xf numFmtId="49" fontId="0" fillId="9" borderId="29" xfId="0" applyNumberFormat="1" applyFill="1" applyBorder="1" applyAlignment="1">
      <alignment horizontal="left"/>
    </xf>
    <xf numFmtId="49" fontId="0" fillId="8" borderId="30" xfId="0" applyNumberFormat="1" applyFill="1" applyBorder="1" applyAlignment="1">
      <alignment horizontal="left"/>
    </xf>
    <xf numFmtId="49" fontId="0" fillId="9" borderId="31" xfId="0" applyNumberFormat="1" applyFill="1" applyBorder="1" applyAlignment="1">
      <alignment horizontal="left"/>
    </xf>
    <xf numFmtId="0" fontId="0" fillId="8" borderId="30" xfId="0" applyFill="1" applyBorder="1" applyAlignment="1">
      <alignment horizontal="left"/>
    </xf>
    <xf numFmtId="0" fontId="0" fillId="9" borderId="32" xfId="0" applyFill="1" applyBorder="1" applyAlignment="1">
      <alignment horizontal="left"/>
    </xf>
    <xf numFmtId="0" fontId="0" fillId="9" borderId="31" xfId="0" applyFill="1" applyBorder="1" applyAlignment="1">
      <alignment horizontal="left"/>
    </xf>
    <xf numFmtId="49" fontId="0" fillId="9" borderId="32" xfId="0" applyNumberFormat="1" applyFill="1" applyBorder="1" applyAlignment="1">
      <alignment horizontal="left"/>
    </xf>
    <xf numFmtId="0" fontId="6" fillId="10" borderId="33" xfId="0" applyFont="1" applyFill="1" applyBorder="1"/>
    <xf numFmtId="0" fontId="6" fillId="10" borderId="34" xfId="0" applyFont="1" applyFill="1" applyBorder="1" applyAlignment="1">
      <alignment horizontal="right"/>
    </xf>
    <xf numFmtId="0" fontId="6" fillId="10" borderId="35" xfId="0" applyFont="1" applyFill="1" applyBorder="1" applyAlignment="1">
      <alignment horizontal="right"/>
    </xf>
    <xf numFmtId="0" fontId="0" fillId="9" borderId="25" xfId="0" applyFill="1" applyBorder="1" applyAlignment="1">
      <alignment horizontal="left"/>
    </xf>
    <xf numFmtId="49" fontId="0" fillId="9" borderId="25" xfId="0" applyNumberFormat="1" applyFill="1" applyBorder="1" applyAlignment="1">
      <alignment horizontal="left"/>
    </xf>
    <xf numFmtId="0" fontId="6" fillId="10" borderId="34" xfId="0" applyFont="1" applyFill="1" applyBorder="1"/>
    <xf numFmtId="49" fontId="0" fillId="9" borderId="26" xfId="0" applyNumberFormat="1" applyFill="1" applyBorder="1" applyAlignment="1">
      <alignment horizontal="left"/>
    </xf>
    <xf numFmtId="49" fontId="0" fillId="8" borderId="23" xfId="0" applyNumberFormat="1" applyFill="1" applyBorder="1" applyAlignment="1">
      <alignment horizontal="left"/>
    </xf>
    <xf numFmtId="49" fontId="0" fillId="8" borderId="24" xfId="0" applyNumberFormat="1" applyFill="1" applyBorder="1" applyAlignment="1">
      <alignment horizontal="left"/>
    </xf>
    <xf numFmtId="0" fontId="7" fillId="7" borderId="13" xfId="0" applyFont="1" applyFill="1" applyBorder="1" applyAlignment="1">
      <alignment horizontal="left"/>
    </xf>
    <xf numFmtId="0" fontId="7" fillId="7" borderId="0" xfId="0" applyFont="1" applyFill="1" applyAlignment="1">
      <alignment horizontal="left"/>
    </xf>
    <xf numFmtId="0" fontId="7" fillId="7" borderId="14" xfId="0" applyFont="1" applyFill="1" applyBorder="1" applyAlignment="1">
      <alignment horizontal="left" wrapText="1"/>
    </xf>
    <xf numFmtId="0" fontId="7" fillId="7" borderId="10" xfId="0" applyFont="1" applyFill="1" applyBorder="1" applyAlignment="1">
      <alignment horizontal="left" wrapText="1"/>
    </xf>
    <xf numFmtId="0" fontId="6" fillId="7" borderId="19" xfId="0" applyFont="1" applyFill="1" applyBorder="1" applyAlignment="1">
      <alignment horizontal="center"/>
    </xf>
    <xf numFmtId="0" fontId="6" fillId="7" borderId="20" xfId="0" applyFont="1" applyFill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8" xfId="0" applyBorder="1"/>
    <xf numFmtId="0" fontId="0" fillId="0" borderId="19" xfId="0" applyBorder="1"/>
    <xf numFmtId="0" fontId="7" fillId="7" borderId="13" xfId="0" applyFont="1" applyFill="1" applyBorder="1" applyAlignment="1">
      <alignment horizontal="left" wrapText="1"/>
    </xf>
    <xf numFmtId="0" fontId="7" fillId="7" borderId="0" xfId="0" applyFont="1" applyFill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6" fillId="7" borderId="15" xfId="0" applyFont="1" applyFill="1" applyBorder="1" applyAlignment="1">
      <alignment horizontal="left"/>
    </xf>
    <xf numFmtId="0" fontId="6" fillId="7" borderId="16" xfId="0" applyFont="1" applyFill="1" applyBorder="1" applyAlignment="1">
      <alignment horizontal="left"/>
    </xf>
    <xf numFmtId="0" fontId="6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/>
    </xf>
    <xf numFmtId="49" fontId="0" fillId="9" borderId="22" xfId="0" applyNumberFormat="1" applyFill="1" applyBorder="1" applyAlignment="1">
      <alignment horizontal="left"/>
    </xf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0/07/relationships/rdRichValueWebImage" Target="richData/rdRichValueWebImage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intranet.helha.be/wp-content/uploads/2021/03/LOGO_HELHa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  <v>Logo Helha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B1:B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workbookViewId="0">
      <selection activeCell="G16" sqref="G16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6" t="s">
        <v>584</v>
      </c>
    </row>
    <row r="3" spans="1:4" x14ac:dyDescent="0.3">
      <c r="A3" t="s">
        <v>7</v>
      </c>
      <c r="B3" t="s">
        <v>8</v>
      </c>
      <c r="C3" t="s">
        <v>9</v>
      </c>
      <c r="D3" s="26" t="s">
        <v>584</v>
      </c>
    </row>
    <row r="4" spans="1:4" x14ac:dyDescent="0.3">
      <c r="A4" t="s">
        <v>10</v>
      </c>
      <c r="B4" t="s">
        <v>11</v>
      </c>
      <c r="C4" t="s">
        <v>12</v>
      </c>
      <c r="D4" s="26" t="s">
        <v>584</v>
      </c>
    </row>
    <row r="5" spans="1:4" x14ac:dyDescent="0.3">
      <c r="A5" t="s">
        <v>13</v>
      </c>
      <c r="B5" t="s">
        <v>14</v>
      </c>
      <c r="C5" t="s">
        <v>15</v>
      </c>
      <c r="D5" s="26" t="s">
        <v>584</v>
      </c>
    </row>
    <row r="6" spans="1:4" x14ac:dyDescent="0.3">
      <c r="A6" t="s">
        <v>16</v>
      </c>
      <c r="B6" t="s">
        <v>17</v>
      </c>
      <c r="C6" t="s">
        <v>18</v>
      </c>
      <c r="D6" s="26" t="s">
        <v>584</v>
      </c>
    </row>
    <row r="7" spans="1:4" x14ac:dyDescent="0.3">
      <c r="A7" t="s">
        <v>19</v>
      </c>
      <c r="B7" t="s">
        <v>20</v>
      </c>
      <c r="C7" t="s">
        <v>21</v>
      </c>
      <c r="D7" s="26" t="s">
        <v>584</v>
      </c>
    </row>
    <row r="8" spans="1:4" x14ac:dyDescent="0.3">
      <c r="A8" t="s">
        <v>22</v>
      </c>
      <c r="B8" t="s">
        <v>23</v>
      </c>
      <c r="C8" t="s">
        <v>24</v>
      </c>
      <c r="D8" s="26" t="s">
        <v>584</v>
      </c>
    </row>
    <row r="9" spans="1:4" x14ac:dyDescent="0.3">
      <c r="A9" t="s">
        <v>25</v>
      </c>
      <c r="B9" t="s">
        <v>26</v>
      </c>
      <c r="C9" t="s">
        <v>27</v>
      </c>
      <c r="D9" s="26" t="s">
        <v>584</v>
      </c>
    </row>
    <row r="10" spans="1:4" x14ac:dyDescent="0.3">
      <c r="A10" t="s">
        <v>28</v>
      </c>
      <c r="B10" t="s">
        <v>29</v>
      </c>
      <c r="C10" t="s">
        <v>30</v>
      </c>
      <c r="D10" s="26" t="s">
        <v>584</v>
      </c>
    </row>
    <row r="11" spans="1:4" x14ac:dyDescent="0.3">
      <c r="A11" t="s">
        <v>31</v>
      </c>
      <c r="B11" t="s">
        <v>32</v>
      </c>
      <c r="C11" t="s">
        <v>33</v>
      </c>
      <c r="D11" s="26" t="s">
        <v>584</v>
      </c>
    </row>
    <row r="12" spans="1:4" x14ac:dyDescent="0.3">
      <c r="A12" t="s">
        <v>34</v>
      </c>
      <c r="B12" t="s">
        <v>35</v>
      </c>
      <c r="C12" t="s">
        <v>36</v>
      </c>
      <c r="D12" s="26" t="s">
        <v>584</v>
      </c>
    </row>
    <row r="13" spans="1:4" x14ac:dyDescent="0.3">
      <c r="A13" t="s">
        <v>37</v>
      </c>
      <c r="B13" t="s">
        <v>38</v>
      </c>
      <c r="C13" t="s">
        <v>39</v>
      </c>
      <c r="D13" s="26" t="s">
        <v>584</v>
      </c>
    </row>
    <row r="14" spans="1:4" x14ac:dyDescent="0.3">
      <c r="A14" t="s">
        <v>40</v>
      </c>
      <c r="B14" t="s">
        <v>41</v>
      </c>
      <c r="C14" t="s">
        <v>42</v>
      </c>
      <c r="D14" s="26" t="s">
        <v>584</v>
      </c>
    </row>
    <row r="15" spans="1:4" x14ac:dyDescent="0.3">
      <c r="A15" t="s">
        <v>43</v>
      </c>
      <c r="B15" t="s">
        <v>44</v>
      </c>
      <c r="C15" t="s">
        <v>45</v>
      </c>
      <c r="D15" s="26" t="s">
        <v>584</v>
      </c>
    </row>
    <row r="16" spans="1:4" x14ac:dyDescent="0.3">
      <c r="A16" t="s">
        <v>46</v>
      </c>
      <c r="B16" t="s">
        <v>47</v>
      </c>
      <c r="C16" t="s">
        <v>48</v>
      </c>
      <c r="D16" s="26" t="s">
        <v>584</v>
      </c>
    </row>
    <row r="17" spans="1:4" x14ac:dyDescent="0.3">
      <c r="A17" t="s">
        <v>49</v>
      </c>
      <c r="B17" t="s">
        <v>50</v>
      </c>
      <c r="C17" t="s">
        <v>51</v>
      </c>
      <c r="D17" s="26" t="s">
        <v>584</v>
      </c>
    </row>
    <row r="18" spans="1:4" x14ac:dyDescent="0.3">
      <c r="A18" t="s">
        <v>52</v>
      </c>
      <c r="B18" t="s">
        <v>53</v>
      </c>
      <c r="C18" t="s">
        <v>39</v>
      </c>
      <c r="D18" s="26" t="s">
        <v>584</v>
      </c>
    </row>
    <row r="19" spans="1:4" x14ac:dyDescent="0.3">
      <c r="A19" t="s">
        <v>54</v>
      </c>
      <c r="B19" t="s">
        <v>55</v>
      </c>
      <c r="C19" t="s">
        <v>56</v>
      </c>
      <c r="D19" s="26" t="s">
        <v>584</v>
      </c>
    </row>
    <row r="20" spans="1:4" x14ac:dyDescent="0.3">
      <c r="A20" t="s">
        <v>57</v>
      </c>
      <c r="B20" t="s">
        <v>58</v>
      </c>
      <c r="C20" t="s">
        <v>59</v>
      </c>
      <c r="D20" s="26" t="s">
        <v>584</v>
      </c>
    </row>
    <row r="21" spans="1:4" x14ac:dyDescent="0.3">
      <c r="A21" t="s">
        <v>60</v>
      </c>
      <c r="B21" t="s">
        <v>61</v>
      </c>
      <c r="C21" t="s">
        <v>62</v>
      </c>
      <c r="D21" s="26" t="s">
        <v>584</v>
      </c>
    </row>
    <row r="22" spans="1:4" x14ac:dyDescent="0.3">
      <c r="A22" t="s">
        <v>63</v>
      </c>
      <c r="B22" t="s">
        <v>64</v>
      </c>
      <c r="C22" t="s">
        <v>65</v>
      </c>
      <c r="D22" s="26" t="s">
        <v>584</v>
      </c>
    </row>
    <row r="23" spans="1:4" x14ac:dyDescent="0.3">
      <c r="A23" t="s">
        <v>66</v>
      </c>
      <c r="B23" t="s">
        <v>67</v>
      </c>
      <c r="C23" t="s">
        <v>68</v>
      </c>
      <c r="D23" s="26" t="s">
        <v>584</v>
      </c>
    </row>
    <row r="24" spans="1:4" x14ac:dyDescent="0.3">
      <c r="A24" t="s">
        <v>69</v>
      </c>
      <c r="B24" t="s">
        <v>70</v>
      </c>
      <c r="C24" t="s">
        <v>71</v>
      </c>
      <c r="D24" s="26" t="s">
        <v>584</v>
      </c>
    </row>
    <row r="25" spans="1:4" x14ac:dyDescent="0.3">
      <c r="A25" t="s">
        <v>72</v>
      </c>
      <c r="B25" t="s">
        <v>73</v>
      </c>
      <c r="C25" t="s">
        <v>74</v>
      </c>
      <c r="D25" s="26" t="s">
        <v>584</v>
      </c>
    </row>
    <row r="26" spans="1:4" x14ac:dyDescent="0.3">
      <c r="A26" t="s">
        <v>75</v>
      </c>
      <c r="B26" t="s">
        <v>76</v>
      </c>
      <c r="C26" t="s">
        <v>77</v>
      </c>
      <c r="D26" s="26" t="s">
        <v>584</v>
      </c>
    </row>
    <row r="27" spans="1:4" x14ac:dyDescent="0.3">
      <c r="A27" t="s">
        <v>78</v>
      </c>
      <c r="B27" t="s">
        <v>79</v>
      </c>
      <c r="C27" t="s">
        <v>80</v>
      </c>
      <c r="D27" s="26" t="s">
        <v>584</v>
      </c>
    </row>
    <row r="28" spans="1:4" x14ac:dyDescent="0.3">
      <c r="A28" t="s">
        <v>81</v>
      </c>
      <c r="B28" t="s">
        <v>82</v>
      </c>
      <c r="C28" t="s">
        <v>83</v>
      </c>
      <c r="D28" s="26" t="s">
        <v>584</v>
      </c>
    </row>
    <row r="29" spans="1:4" x14ac:dyDescent="0.3">
      <c r="A29" t="s">
        <v>84</v>
      </c>
      <c r="B29" t="s">
        <v>85</v>
      </c>
      <c r="C29" t="s">
        <v>86</v>
      </c>
      <c r="D29" s="26" t="s">
        <v>584</v>
      </c>
    </row>
    <row r="30" spans="1:4" x14ac:dyDescent="0.3">
      <c r="A30" t="s">
        <v>87</v>
      </c>
      <c r="B30" t="s">
        <v>88</v>
      </c>
      <c r="C30" t="s">
        <v>89</v>
      </c>
      <c r="D30" s="26" t="s">
        <v>584</v>
      </c>
    </row>
    <row r="31" spans="1:4" x14ac:dyDescent="0.3">
      <c r="A31" t="s">
        <v>90</v>
      </c>
      <c r="B31" t="s">
        <v>91</v>
      </c>
      <c r="C31" t="s">
        <v>92</v>
      </c>
      <c r="D31" s="26" t="s">
        <v>584</v>
      </c>
    </row>
    <row r="32" spans="1:4" x14ac:dyDescent="0.3">
      <c r="A32" t="s">
        <v>93</v>
      </c>
      <c r="B32" t="s">
        <v>94</v>
      </c>
      <c r="C32" t="s">
        <v>95</v>
      </c>
      <c r="D32" s="26" t="s">
        <v>584</v>
      </c>
    </row>
    <row r="33" spans="1:4" x14ac:dyDescent="0.3">
      <c r="A33" t="s">
        <v>96</v>
      </c>
      <c r="B33" t="s">
        <v>97</v>
      </c>
      <c r="C33" t="s">
        <v>98</v>
      </c>
      <c r="D33" s="26" t="s">
        <v>584</v>
      </c>
    </row>
    <row r="34" spans="1:4" x14ac:dyDescent="0.3">
      <c r="A34" t="s">
        <v>99</v>
      </c>
      <c r="B34" t="s">
        <v>100</v>
      </c>
      <c r="C34" t="s">
        <v>101</v>
      </c>
      <c r="D34" s="26" t="s">
        <v>584</v>
      </c>
    </row>
    <row r="35" spans="1:4" x14ac:dyDescent="0.3">
      <c r="A35" t="s">
        <v>102</v>
      </c>
      <c r="B35" t="s">
        <v>103</v>
      </c>
      <c r="C35" t="s">
        <v>104</v>
      </c>
      <c r="D35" s="26" t="s">
        <v>584</v>
      </c>
    </row>
    <row r="36" spans="1:4" x14ac:dyDescent="0.3">
      <c r="A36" t="s">
        <v>105</v>
      </c>
      <c r="B36" t="s">
        <v>106</v>
      </c>
      <c r="C36" t="s">
        <v>107</v>
      </c>
      <c r="D36" s="26" t="s">
        <v>584</v>
      </c>
    </row>
    <row r="37" spans="1:4" x14ac:dyDescent="0.3">
      <c r="A37" t="s">
        <v>108</v>
      </c>
      <c r="B37" t="s">
        <v>109</v>
      </c>
      <c r="C37" t="s">
        <v>110</v>
      </c>
      <c r="D37" s="26" t="s">
        <v>584</v>
      </c>
    </row>
    <row r="38" spans="1:4" x14ac:dyDescent="0.3">
      <c r="A38" t="s">
        <v>111</v>
      </c>
      <c r="B38" t="s">
        <v>112</v>
      </c>
      <c r="C38" t="s">
        <v>113</v>
      </c>
      <c r="D38" s="26" t="s">
        <v>584</v>
      </c>
    </row>
    <row r="39" spans="1:4" x14ac:dyDescent="0.3">
      <c r="A39" t="s">
        <v>114</v>
      </c>
      <c r="B39" t="s">
        <v>115</v>
      </c>
      <c r="C39" t="s">
        <v>116</v>
      </c>
      <c r="D39" s="26" t="s">
        <v>584</v>
      </c>
    </row>
    <row r="40" spans="1:4" x14ac:dyDescent="0.3">
      <c r="A40" t="s">
        <v>117</v>
      </c>
      <c r="B40" t="s">
        <v>118</v>
      </c>
      <c r="C40" t="s">
        <v>119</v>
      </c>
      <c r="D40" s="26" t="s">
        <v>584</v>
      </c>
    </row>
    <row r="41" spans="1:4" x14ac:dyDescent="0.3">
      <c r="A41" t="s">
        <v>120</v>
      </c>
      <c r="B41" t="s">
        <v>121</v>
      </c>
      <c r="C41" t="s">
        <v>122</v>
      </c>
      <c r="D41" s="26" t="s">
        <v>584</v>
      </c>
    </row>
    <row r="42" spans="1:4" x14ac:dyDescent="0.3">
      <c r="A42" t="s">
        <v>123</v>
      </c>
      <c r="B42" t="s">
        <v>124</v>
      </c>
      <c r="C42" t="s">
        <v>125</v>
      </c>
      <c r="D42" s="26" t="s">
        <v>584</v>
      </c>
    </row>
    <row r="43" spans="1:4" x14ac:dyDescent="0.3">
      <c r="A43" t="s">
        <v>126</v>
      </c>
      <c r="B43" t="s">
        <v>127</v>
      </c>
      <c r="C43" t="s">
        <v>128</v>
      </c>
      <c r="D43" s="26" t="s">
        <v>584</v>
      </c>
    </row>
    <row r="44" spans="1:4" x14ac:dyDescent="0.3">
      <c r="A44" t="s">
        <v>129</v>
      </c>
      <c r="B44" t="s">
        <v>130</v>
      </c>
      <c r="C44" t="s">
        <v>131</v>
      </c>
      <c r="D44" s="26" t="s">
        <v>584</v>
      </c>
    </row>
    <row r="45" spans="1:4" x14ac:dyDescent="0.3">
      <c r="A45" t="s">
        <v>132</v>
      </c>
      <c r="B45" t="s">
        <v>133</v>
      </c>
      <c r="C45" t="s">
        <v>134</v>
      </c>
      <c r="D45" s="26" t="s">
        <v>584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workbookViewId="0">
      <selection activeCell="AA25" sqref="AA25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6" t="s">
        <v>584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6" t="s">
        <v>584</v>
      </c>
    </row>
    <row r="4" spans="1:5" x14ac:dyDescent="0.3">
      <c r="A4" s="25" t="s">
        <v>474</v>
      </c>
      <c r="B4" s="25" t="s">
        <v>475</v>
      </c>
      <c r="C4" s="25" t="s">
        <v>176</v>
      </c>
      <c r="D4" s="25" t="s">
        <v>303</v>
      </c>
      <c r="E4" s="26" t="s">
        <v>584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6" t="s">
        <v>584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6" t="s">
        <v>584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6" t="s">
        <v>584</v>
      </c>
    </row>
    <row r="8" spans="1:5" x14ac:dyDescent="0.3">
      <c r="A8" s="25" t="s">
        <v>507</v>
      </c>
      <c r="B8" s="25" t="s">
        <v>514</v>
      </c>
      <c r="C8" s="25" t="s">
        <v>515</v>
      </c>
      <c r="D8" s="25" t="s">
        <v>135</v>
      </c>
      <c r="E8" s="26" t="s">
        <v>584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6" t="s">
        <v>584</v>
      </c>
    </row>
    <row r="10" spans="1:5" x14ac:dyDescent="0.3">
      <c r="A10" s="25" t="s">
        <v>405</v>
      </c>
      <c r="B10" s="25" t="s">
        <v>406</v>
      </c>
      <c r="C10" s="25" t="s">
        <v>407</v>
      </c>
      <c r="D10" s="25" t="s">
        <v>135</v>
      </c>
      <c r="E10" s="26" t="s">
        <v>584</v>
      </c>
    </row>
    <row r="11" spans="1:5" x14ac:dyDescent="0.3">
      <c r="A11" s="25" t="s">
        <v>408</v>
      </c>
      <c r="B11" s="25" t="s">
        <v>409</v>
      </c>
      <c r="C11" s="25" t="s">
        <v>410</v>
      </c>
      <c r="D11" s="25" t="s">
        <v>135</v>
      </c>
      <c r="E11" s="26" t="s">
        <v>584</v>
      </c>
    </row>
    <row r="12" spans="1:5" x14ac:dyDescent="0.3">
      <c r="A12" s="25" t="s">
        <v>585</v>
      </c>
      <c r="B12" s="25" t="s">
        <v>586</v>
      </c>
      <c r="C12" s="25" t="s">
        <v>411</v>
      </c>
      <c r="D12" s="25" t="s">
        <v>135</v>
      </c>
      <c r="E12" s="26" t="s">
        <v>584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6" t="s">
        <v>584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6" t="s">
        <v>584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6" t="s">
        <v>584</v>
      </c>
    </row>
    <row r="16" spans="1:5" x14ac:dyDescent="0.3">
      <c r="A16" s="25" t="s">
        <v>412</v>
      </c>
      <c r="B16" s="25" t="s">
        <v>587</v>
      </c>
      <c r="C16" s="25" t="s">
        <v>71</v>
      </c>
      <c r="D16" s="25" t="s">
        <v>135</v>
      </c>
      <c r="E16" s="26" t="s">
        <v>584</v>
      </c>
    </row>
    <row r="17" spans="1:5" x14ac:dyDescent="0.3">
      <c r="A17" s="25" t="s">
        <v>508</v>
      </c>
      <c r="B17" s="25" t="s">
        <v>516</v>
      </c>
      <c r="C17" s="25" t="s">
        <v>517</v>
      </c>
      <c r="D17" s="25" t="s">
        <v>135</v>
      </c>
      <c r="E17" s="26" t="s">
        <v>584</v>
      </c>
    </row>
    <row r="18" spans="1:5" x14ac:dyDescent="0.3">
      <c r="A18" s="25" t="s">
        <v>510</v>
      </c>
      <c r="B18" s="25" t="s">
        <v>519</v>
      </c>
      <c r="C18" s="25" t="s">
        <v>411</v>
      </c>
      <c r="D18" s="25" t="s">
        <v>135</v>
      </c>
      <c r="E18" s="26" t="s">
        <v>584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6" t="s">
        <v>584</v>
      </c>
    </row>
    <row r="20" spans="1:5" x14ac:dyDescent="0.3">
      <c r="A20" s="25" t="s">
        <v>562</v>
      </c>
      <c r="B20" s="25" t="s">
        <v>570</v>
      </c>
      <c r="C20" s="25" t="s">
        <v>234</v>
      </c>
      <c r="D20" s="25" t="s">
        <v>135</v>
      </c>
      <c r="E20" s="26" t="s">
        <v>584</v>
      </c>
    </row>
    <row r="21" spans="1:5" x14ac:dyDescent="0.3">
      <c r="A21" s="25" t="s">
        <v>547</v>
      </c>
      <c r="B21" s="25" t="s">
        <v>554</v>
      </c>
      <c r="C21" s="25" t="s">
        <v>555</v>
      </c>
      <c r="D21" s="25" t="s">
        <v>135</v>
      </c>
      <c r="E21" s="26" t="s">
        <v>584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6" t="s">
        <v>584</v>
      </c>
    </row>
    <row r="23" spans="1:5" x14ac:dyDescent="0.3">
      <c r="A23" s="25" t="s">
        <v>578</v>
      </c>
      <c r="B23" s="25" t="s">
        <v>583</v>
      </c>
      <c r="C23" s="25" t="s">
        <v>561</v>
      </c>
      <c r="D23" s="25" t="s">
        <v>161</v>
      </c>
      <c r="E23" s="26" t="s">
        <v>584</v>
      </c>
    </row>
    <row r="24" spans="1:5" x14ac:dyDescent="0.3">
      <c r="A24" s="25" t="s">
        <v>416</v>
      </c>
      <c r="B24" s="25" t="s">
        <v>588</v>
      </c>
      <c r="C24" s="25" t="s">
        <v>417</v>
      </c>
      <c r="D24" s="25" t="s">
        <v>135</v>
      </c>
      <c r="E24" s="26" t="s">
        <v>584</v>
      </c>
    </row>
    <row r="25" spans="1:5" x14ac:dyDescent="0.3">
      <c r="A25" s="25" t="s">
        <v>413</v>
      </c>
      <c r="B25" s="25" t="s">
        <v>414</v>
      </c>
      <c r="C25" s="25" t="s">
        <v>415</v>
      </c>
      <c r="D25" s="25" t="s">
        <v>135</v>
      </c>
      <c r="E25" s="26" t="s">
        <v>584</v>
      </c>
    </row>
    <row r="26" spans="1:5" x14ac:dyDescent="0.3">
      <c r="A26" s="25" t="s">
        <v>418</v>
      </c>
      <c r="B26" s="25" t="s">
        <v>419</v>
      </c>
      <c r="C26" s="25" t="s">
        <v>146</v>
      </c>
      <c r="D26" s="25" t="s">
        <v>135</v>
      </c>
      <c r="E26" s="26" t="s">
        <v>584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6" t="s">
        <v>584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6" t="s">
        <v>584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6" t="s">
        <v>584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6" t="s">
        <v>584</v>
      </c>
    </row>
    <row r="31" spans="1:5" x14ac:dyDescent="0.3">
      <c r="A31" s="25" t="s">
        <v>425</v>
      </c>
      <c r="B31" s="25" t="s">
        <v>426</v>
      </c>
      <c r="C31" s="25" t="s">
        <v>427</v>
      </c>
      <c r="D31" s="25" t="s">
        <v>135</v>
      </c>
      <c r="E31" s="26" t="s">
        <v>584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6" t="s">
        <v>584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6" t="s">
        <v>584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6" t="s">
        <v>584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6" t="s">
        <v>584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6" t="s">
        <v>584</v>
      </c>
    </row>
    <row r="37" spans="1:5" x14ac:dyDescent="0.3">
      <c r="A37" s="25" t="s">
        <v>565</v>
      </c>
      <c r="B37" s="25" t="s">
        <v>574</v>
      </c>
      <c r="C37" s="25" t="s">
        <v>237</v>
      </c>
      <c r="D37" s="25" t="s">
        <v>135</v>
      </c>
      <c r="E37" s="26" t="s">
        <v>584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6" t="s">
        <v>584</v>
      </c>
    </row>
    <row r="39" spans="1:5" x14ac:dyDescent="0.3">
      <c r="A39" s="25" t="s">
        <v>506</v>
      </c>
      <c r="B39" s="25" t="s">
        <v>513</v>
      </c>
      <c r="C39" s="25" t="s">
        <v>149</v>
      </c>
      <c r="D39" s="25" t="s">
        <v>135</v>
      </c>
      <c r="E39" s="26" t="s">
        <v>584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6" t="s">
        <v>584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6" t="s">
        <v>584</v>
      </c>
    </row>
    <row r="42" spans="1:5" x14ac:dyDescent="0.3">
      <c r="A42" s="25" t="s">
        <v>428</v>
      </c>
      <c r="B42" s="25" t="s">
        <v>589</v>
      </c>
      <c r="C42" s="25" t="s">
        <v>62</v>
      </c>
      <c r="D42" s="25" t="s">
        <v>135</v>
      </c>
      <c r="E42" s="26" t="s">
        <v>584</v>
      </c>
    </row>
    <row r="43" spans="1:5" x14ac:dyDescent="0.3">
      <c r="A43" s="25" t="s">
        <v>527</v>
      </c>
      <c r="B43" s="25" t="s">
        <v>534</v>
      </c>
      <c r="C43" s="25" t="s">
        <v>535</v>
      </c>
      <c r="D43" s="25" t="s">
        <v>135</v>
      </c>
      <c r="E43" s="26" t="s">
        <v>584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6" t="s">
        <v>584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6" t="s">
        <v>584</v>
      </c>
    </row>
    <row r="46" spans="1:5" x14ac:dyDescent="0.3">
      <c r="A46" s="25" t="s">
        <v>429</v>
      </c>
      <c r="B46" s="25" t="s">
        <v>432</v>
      </c>
      <c r="C46" s="25" t="s">
        <v>433</v>
      </c>
      <c r="D46" s="25" t="s">
        <v>135</v>
      </c>
      <c r="E46" s="26" t="s">
        <v>584</v>
      </c>
    </row>
    <row r="47" spans="1:5" x14ac:dyDescent="0.3">
      <c r="A47" s="25" t="s">
        <v>528</v>
      </c>
      <c r="B47" s="25" t="s">
        <v>590</v>
      </c>
      <c r="C47" s="25" t="s">
        <v>536</v>
      </c>
      <c r="D47" s="25" t="s">
        <v>135</v>
      </c>
      <c r="E47" s="26" t="s">
        <v>584</v>
      </c>
    </row>
    <row r="48" spans="1:5" x14ac:dyDescent="0.3">
      <c r="A48" s="25" t="s">
        <v>430</v>
      </c>
      <c r="B48" s="25" t="s">
        <v>590</v>
      </c>
      <c r="C48" s="25" t="s">
        <v>434</v>
      </c>
      <c r="D48" s="25" t="s">
        <v>135</v>
      </c>
      <c r="E48" s="26" t="s">
        <v>584</v>
      </c>
    </row>
    <row r="49" spans="1:5" x14ac:dyDescent="0.3">
      <c r="A49" s="25" t="s">
        <v>431</v>
      </c>
      <c r="B49" s="25" t="s">
        <v>591</v>
      </c>
      <c r="C49" s="25" t="s">
        <v>39</v>
      </c>
      <c r="D49" s="25" t="s">
        <v>135</v>
      </c>
      <c r="E49" s="26" t="s">
        <v>584</v>
      </c>
    </row>
    <row r="50" spans="1:5" x14ac:dyDescent="0.3">
      <c r="A50" s="25" t="s">
        <v>545</v>
      </c>
      <c r="B50" s="25" t="s">
        <v>184</v>
      </c>
      <c r="C50" s="25" t="s">
        <v>552</v>
      </c>
      <c r="D50" s="25" t="s">
        <v>135</v>
      </c>
      <c r="E50" s="26" t="s">
        <v>584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6" t="s">
        <v>584</v>
      </c>
    </row>
    <row r="52" spans="1:5" x14ac:dyDescent="0.3">
      <c r="A52" s="25" t="s">
        <v>183</v>
      </c>
      <c r="B52" s="25" t="s">
        <v>184</v>
      </c>
      <c r="C52" s="25" t="s">
        <v>185</v>
      </c>
      <c r="D52" s="25" t="s">
        <v>303</v>
      </c>
      <c r="E52" s="26" t="s">
        <v>584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6" t="s">
        <v>584</v>
      </c>
    </row>
    <row r="54" spans="1:5" x14ac:dyDescent="0.3">
      <c r="A54" s="25" t="s">
        <v>273</v>
      </c>
      <c r="B54" s="25" t="s">
        <v>195</v>
      </c>
      <c r="C54" s="25" t="s">
        <v>274</v>
      </c>
      <c r="D54" s="25" t="s">
        <v>135</v>
      </c>
      <c r="E54" s="26" t="s">
        <v>584</v>
      </c>
    </row>
    <row r="55" spans="1:5" x14ac:dyDescent="0.3">
      <c r="A55" s="25" t="s">
        <v>194</v>
      </c>
      <c r="B55" s="25" t="s">
        <v>195</v>
      </c>
      <c r="C55" s="25" t="s">
        <v>196</v>
      </c>
      <c r="D55" s="25" t="s">
        <v>135</v>
      </c>
      <c r="E55" s="26" t="s">
        <v>584</v>
      </c>
    </row>
    <row r="56" spans="1:5" x14ac:dyDescent="0.3">
      <c r="A56" s="25" t="s">
        <v>435</v>
      </c>
      <c r="B56" s="25" t="s">
        <v>438</v>
      </c>
      <c r="C56" s="25" t="s">
        <v>254</v>
      </c>
      <c r="D56" s="25" t="s">
        <v>135</v>
      </c>
      <c r="E56" s="26" t="s">
        <v>584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6" t="s">
        <v>584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6" t="s">
        <v>584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6" t="s">
        <v>584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6" t="s">
        <v>584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6" t="s">
        <v>584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6" t="s">
        <v>584</v>
      </c>
    </row>
    <row r="63" spans="1:5" x14ac:dyDescent="0.3">
      <c r="A63" s="1" t="s">
        <v>525</v>
      </c>
      <c r="B63" s="1" t="s">
        <v>253</v>
      </c>
      <c r="C63" s="1" t="s">
        <v>526</v>
      </c>
      <c r="D63" s="1" t="s">
        <v>135</v>
      </c>
      <c r="E63" s="26" t="s">
        <v>584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6" t="s">
        <v>584</v>
      </c>
    </row>
    <row r="65" spans="1:5" x14ac:dyDescent="0.3">
      <c r="A65" s="1" t="s">
        <v>436</v>
      </c>
      <c r="B65" s="1" t="s">
        <v>439</v>
      </c>
      <c r="C65" s="1" t="s">
        <v>36</v>
      </c>
      <c r="D65" s="1" t="s">
        <v>135</v>
      </c>
      <c r="E65" s="26" t="s">
        <v>584</v>
      </c>
    </row>
    <row r="66" spans="1:5" x14ac:dyDescent="0.3">
      <c r="A66" s="1" t="s">
        <v>531</v>
      </c>
      <c r="B66" s="1" t="s">
        <v>592</v>
      </c>
      <c r="C66" s="1" t="s">
        <v>540</v>
      </c>
      <c r="D66" s="1" t="s">
        <v>135</v>
      </c>
      <c r="E66" s="26" t="s">
        <v>584</v>
      </c>
    </row>
    <row r="67" spans="1:5" x14ac:dyDescent="0.3">
      <c r="A67" s="1" t="s">
        <v>437</v>
      </c>
      <c r="B67" s="1" t="s">
        <v>440</v>
      </c>
      <c r="C67" s="1" t="s">
        <v>441</v>
      </c>
      <c r="D67" s="1" t="s">
        <v>135</v>
      </c>
      <c r="E67" s="26" t="s">
        <v>584</v>
      </c>
    </row>
    <row r="68" spans="1:5" x14ac:dyDescent="0.3">
      <c r="A68" s="1" t="s">
        <v>442</v>
      </c>
      <c r="B68" s="1" t="s">
        <v>443</v>
      </c>
      <c r="C68" s="1" t="s">
        <v>149</v>
      </c>
      <c r="D68" s="1" t="s">
        <v>303</v>
      </c>
      <c r="E68" s="26" t="s">
        <v>584</v>
      </c>
    </row>
    <row r="69" spans="1:5" x14ac:dyDescent="0.3">
      <c r="A69" s="1" t="s">
        <v>544</v>
      </c>
      <c r="B69" s="1" t="s">
        <v>551</v>
      </c>
      <c r="C69" s="1" t="s">
        <v>407</v>
      </c>
      <c r="D69" s="1" t="s">
        <v>135</v>
      </c>
      <c r="E69" s="26" t="s">
        <v>584</v>
      </c>
    </row>
    <row r="70" spans="1:5" x14ac:dyDescent="0.3">
      <c r="A70" s="1" t="s">
        <v>512</v>
      </c>
      <c r="B70" s="1" t="s">
        <v>522</v>
      </c>
      <c r="C70" s="1" t="s">
        <v>523</v>
      </c>
      <c r="D70" s="1" t="s">
        <v>135</v>
      </c>
      <c r="E70" s="26" t="s">
        <v>584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6" t="s">
        <v>584</v>
      </c>
    </row>
    <row r="72" spans="1:5" x14ac:dyDescent="0.3">
      <c r="A72" s="1" t="s">
        <v>530</v>
      </c>
      <c r="B72" s="1" t="s">
        <v>538</v>
      </c>
      <c r="C72" s="1" t="s">
        <v>539</v>
      </c>
      <c r="D72" s="1" t="s">
        <v>135</v>
      </c>
      <c r="E72" s="26" t="s">
        <v>584</v>
      </c>
    </row>
    <row r="73" spans="1:5" x14ac:dyDescent="0.3">
      <c r="A73" s="1" t="s">
        <v>533</v>
      </c>
      <c r="B73" s="1" t="s">
        <v>542</v>
      </c>
      <c r="C73" s="1" t="s">
        <v>543</v>
      </c>
      <c r="D73" s="1" t="s">
        <v>135</v>
      </c>
      <c r="E73" s="26" t="s">
        <v>584</v>
      </c>
    </row>
    <row r="74" spans="1:5" x14ac:dyDescent="0.3">
      <c r="A74" s="1" t="s">
        <v>546</v>
      </c>
      <c r="B74" s="1" t="s">
        <v>553</v>
      </c>
      <c r="C74" s="1" t="s">
        <v>220</v>
      </c>
      <c r="D74" s="1" t="s">
        <v>135</v>
      </c>
      <c r="E74" s="26" t="s">
        <v>584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6" t="s">
        <v>584</v>
      </c>
    </row>
    <row r="76" spans="1:5" x14ac:dyDescent="0.3">
      <c r="A76" s="1" t="s">
        <v>550</v>
      </c>
      <c r="B76" s="1" t="s">
        <v>560</v>
      </c>
      <c r="C76" s="1" t="s">
        <v>561</v>
      </c>
      <c r="D76" s="1" t="s">
        <v>135</v>
      </c>
      <c r="E76" s="26" t="s">
        <v>584</v>
      </c>
    </row>
    <row r="77" spans="1:5" x14ac:dyDescent="0.3">
      <c r="A77" s="1" t="s">
        <v>444</v>
      </c>
      <c r="B77" s="1" t="s">
        <v>447</v>
      </c>
      <c r="C77" s="1" t="s">
        <v>448</v>
      </c>
      <c r="D77" s="1" t="s">
        <v>135</v>
      </c>
      <c r="E77" s="26" t="s">
        <v>584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6" t="s">
        <v>584</v>
      </c>
    </row>
    <row r="79" spans="1:5" x14ac:dyDescent="0.3">
      <c r="A79" s="1" t="s">
        <v>445</v>
      </c>
      <c r="B79" s="1" t="s">
        <v>163</v>
      </c>
      <c r="C79" s="1" t="s">
        <v>196</v>
      </c>
      <c r="D79" s="1" t="s">
        <v>135</v>
      </c>
      <c r="E79" s="26" t="s">
        <v>584</v>
      </c>
    </row>
    <row r="80" spans="1:5" x14ac:dyDescent="0.3">
      <c r="A80" s="1" t="s">
        <v>568</v>
      </c>
      <c r="B80" s="1" t="s">
        <v>579</v>
      </c>
      <c r="C80" s="1" t="s">
        <v>580</v>
      </c>
      <c r="D80" s="1" t="s">
        <v>135</v>
      </c>
      <c r="E80" s="26" t="s">
        <v>584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6" t="s">
        <v>584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6" t="s">
        <v>584</v>
      </c>
    </row>
    <row r="83" spans="1:5" x14ac:dyDescent="0.3">
      <c r="A83" s="1" t="s">
        <v>569</v>
      </c>
      <c r="B83" s="1" t="s">
        <v>581</v>
      </c>
      <c r="C83" s="1" t="s">
        <v>582</v>
      </c>
      <c r="D83" s="1" t="s">
        <v>161</v>
      </c>
      <c r="E83" s="26" t="s">
        <v>584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6" t="s">
        <v>584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6" t="s">
        <v>584</v>
      </c>
    </row>
    <row r="86" spans="1:5" x14ac:dyDescent="0.3">
      <c r="A86" s="1" t="s">
        <v>509</v>
      </c>
      <c r="B86" s="1" t="s">
        <v>518</v>
      </c>
      <c r="C86" s="1" t="s">
        <v>456</v>
      </c>
      <c r="D86" s="1" t="s">
        <v>135</v>
      </c>
      <c r="E86" s="26" t="s">
        <v>584</v>
      </c>
    </row>
    <row r="87" spans="1:5" x14ac:dyDescent="0.3">
      <c r="A87" s="1" t="s">
        <v>446</v>
      </c>
      <c r="B87" s="1" t="s">
        <v>449</v>
      </c>
      <c r="C87" s="1" t="s">
        <v>450</v>
      </c>
      <c r="D87" s="1" t="s">
        <v>135</v>
      </c>
      <c r="E87" s="26" t="s">
        <v>584</v>
      </c>
    </row>
    <row r="88" spans="1:5" x14ac:dyDescent="0.3">
      <c r="A88" s="1" t="s">
        <v>549</v>
      </c>
      <c r="B88" s="1" t="s">
        <v>558</v>
      </c>
      <c r="C88" s="1" t="s">
        <v>559</v>
      </c>
      <c r="D88" s="1" t="s">
        <v>135</v>
      </c>
      <c r="E88" s="26" t="s">
        <v>584</v>
      </c>
    </row>
    <row r="89" spans="1:5" x14ac:dyDescent="0.3">
      <c r="A89" s="1" t="s">
        <v>548</v>
      </c>
      <c r="B89" s="1" t="s">
        <v>556</v>
      </c>
      <c r="C89" s="1" t="s">
        <v>557</v>
      </c>
      <c r="D89" s="1" t="s">
        <v>135</v>
      </c>
      <c r="E89" s="26" t="s">
        <v>584</v>
      </c>
    </row>
    <row r="90" spans="1:5" x14ac:dyDescent="0.3">
      <c r="A90" s="1" t="s">
        <v>451</v>
      </c>
      <c r="B90" s="1" t="s">
        <v>454</v>
      </c>
      <c r="C90" s="1" t="s">
        <v>220</v>
      </c>
      <c r="D90" s="1" t="s">
        <v>135</v>
      </c>
      <c r="E90" s="26" t="s">
        <v>584</v>
      </c>
    </row>
    <row r="91" spans="1:5" x14ac:dyDescent="0.3">
      <c r="A91" s="1" t="s">
        <v>452</v>
      </c>
      <c r="B91" s="1" t="s">
        <v>455</v>
      </c>
      <c r="C91" s="1" t="s">
        <v>593</v>
      </c>
      <c r="D91" s="1" t="s">
        <v>135</v>
      </c>
      <c r="E91" s="26" t="s">
        <v>584</v>
      </c>
    </row>
    <row r="92" spans="1:5" x14ac:dyDescent="0.3">
      <c r="A92" s="1" t="s">
        <v>453</v>
      </c>
      <c r="B92" s="1" t="s">
        <v>594</v>
      </c>
      <c r="C92" s="1" t="s">
        <v>456</v>
      </c>
      <c r="D92" s="1" t="s">
        <v>135</v>
      </c>
      <c r="E92" s="26" t="s">
        <v>584</v>
      </c>
    </row>
    <row r="93" spans="1:5" x14ac:dyDescent="0.3">
      <c r="A93" s="1" t="s">
        <v>457</v>
      </c>
      <c r="B93" s="1" t="s">
        <v>595</v>
      </c>
      <c r="C93" s="1" t="s">
        <v>284</v>
      </c>
      <c r="D93" s="1" t="s">
        <v>135</v>
      </c>
      <c r="E93" s="26" t="s">
        <v>584</v>
      </c>
    </row>
    <row r="94" spans="1:5" x14ac:dyDescent="0.3">
      <c r="A94" s="1" t="s">
        <v>423</v>
      </c>
      <c r="B94" s="1" t="s">
        <v>424</v>
      </c>
      <c r="C94" s="1" t="s">
        <v>146</v>
      </c>
      <c r="D94" s="1" t="s">
        <v>303</v>
      </c>
      <c r="E94" s="26" t="s">
        <v>584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6" t="s">
        <v>584</v>
      </c>
    </row>
    <row r="96" spans="1:5" x14ac:dyDescent="0.3">
      <c r="A96" s="1" t="s">
        <v>458</v>
      </c>
      <c r="B96" s="1" t="s">
        <v>461</v>
      </c>
      <c r="C96" s="1" t="s">
        <v>222</v>
      </c>
      <c r="D96" s="1" t="s">
        <v>135</v>
      </c>
      <c r="E96" s="26" t="s">
        <v>584</v>
      </c>
    </row>
    <row r="97" spans="1:5" x14ac:dyDescent="0.3">
      <c r="A97" s="1" t="s">
        <v>459</v>
      </c>
      <c r="B97" s="1" t="s">
        <v>462</v>
      </c>
      <c r="C97" s="1" t="s">
        <v>463</v>
      </c>
      <c r="D97" s="1" t="s">
        <v>135</v>
      </c>
      <c r="E97" s="26" t="s">
        <v>584</v>
      </c>
    </row>
    <row r="98" spans="1:5" x14ac:dyDescent="0.3">
      <c r="A98" s="1" t="s">
        <v>460</v>
      </c>
      <c r="B98" s="1" t="s">
        <v>464</v>
      </c>
      <c r="C98" s="1" t="s">
        <v>465</v>
      </c>
      <c r="D98" s="1" t="s">
        <v>135</v>
      </c>
      <c r="E98" s="26" t="s">
        <v>584</v>
      </c>
    </row>
    <row r="99" spans="1:5" x14ac:dyDescent="0.3">
      <c r="A99" s="1" t="s">
        <v>564</v>
      </c>
      <c r="B99" s="1" t="s">
        <v>572</v>
      </c>
      <c r="C99" s="1" t="s">
        <v>573</v>
      </c>
      <c r="D99" s="1" t="s">
        <v>135</v>
      </c>
      <c r="E99" s="26" t="s">
        <v>584</v>
      </c>
    </row>
    <row r="100" spans="1:5" x14ac:dyDescent="0.3">
      <c r="A100" s="1" t="s">
        <v>466</v>
      </c>
      <c r="B100" s="1" t="s">
        <v>467</v>
      </c>
      <c r="C100" s="1" t="s">
        <v>274</v>
      </c>
      <c r="D100" s="1" t="s">
        <v>135</v>
      </c>
      <c r="E100" s="26" t="s">
        <v>584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6" t="s">
        <v>584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6" t="s">
        <v>584</v>
      </c>
    </row>
    <row r="103" spans="1:5" x14ac:dyDescent="0.3">
      <c r="A103" s="1" t="s">
        <v>566</v>
      </c>
      <c r="B103" s="1" t="s">
        <v>159</v>
      </c>
      <c r="C103" s="1" t="s">
        <v>575</v>
      </c>
      <c r="D103" s="1" t="s">
        <v>135</v>
      </c>
      <c r="E103" s="26" t="s">
        <v>584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6" t="s">
        <v>584</v>
      </c>
    </row>
    <row r="105" spans="1:5" x14ac:dyDescent="0.3">
      <c r="A105" s="1" t="s">
        <v>529</v>
      </c>
      <c r="B105" s="1" t="s">
        <v>537</v>
      </c>
      <c r="C105" s="1" t="s">
        <v>39</v>
      </c>
      <c r="D105" s="1" t="s">
        <v>135</v>
      </c>
      <c r="E105" s="26" t="s">
        <v>584</v>
      </c>
    </row>
    <row r="106" spans="1:5" x14ac:dyDescent="0.3">
      <c r="A106" s="1" t="s">
        <v>468</v>
      </c>
      <c r="B106" s="1" t="s">
        <v>471</v>
      </c>
      <c r="C106" s="1" t="s">
        <v>240</v>
      </c>
      <c r="D106" s="1" t="s">
        <v>135</v>
      </c>
      <c r="E106" s="26" t="s">
        <v>584</v>
      </c>
    </row>
    <row r="107" spans="1:5" x14ac:dyDescent="0.3">
      <c r="A107" s="1" t="s">
        <v>469</v>
      </c>
      <c r="B107" s="1" t="s">
        <v>472</v>
      </c>
      <c r="C107" s="1" t="s">
        <v>473</v>
      </c>
      <c r="D107" s="1" t="s">
        <v>135</v>
      </c>
      <c r="E107" s="26" t="s">
        <v>584</v>
      </c>
    </row>
    <row r="108" spans="1:5" x14ac:dyDescent="0.3">
      <c r="A108" s="1" t="s">
        <v>470</v>
      </c>
      <c r="B108" s="1" t="s">
        <v>143</v>
      </c>
      <c r="C108" s="1" t="s">
        <v>406</v>
      </c>
      <c r="D108" s="1" t="s">
        <v>135</v>
      </c>
      <c r="E108" s="26" t="s">
        <v>584</v>
      </c>
    </row>
    <row r="109" spans="1:5" x14ac:dyDescent="0.3">
      <c r="A109" s="1" t="s">
        <v>142</v>
      </c>
      <c r="B109" s="1" t="s">
        <v>143</v>
      </c>
      <c r="C109" s="1" t="s">
        <v>6</v>
      </c>
      <c r="D109" s="1" t="s">
        <v>303</v>
      </c>
      <c r="E109" s="26" t="s">
        <v>584</v>
      </c>
    </row>
    <row r="110" spans="1:5" x14ac:dyDescent="0.3">
      <c r="A110" s="1" t="s">
        <v>563</v>
      </c>
      <c r="B110" s="1" t="s">
        <v>571</v>
      </c>
      <c r="C110" s="1" t="s">
        <v>433</v>
      </c>
      <c r="D110" s="1" t="s">
        <v>135</v>
      </c>
      <c r="E110" s="26" t="s">
        <v>584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6" t="s">
        <v>584</v>
      </c>
    </row>
    <row r="112" spans="1:5" x14ac:dyDescent="0.3">
      <c r="A112" s="1" t="s">
        <v>532</v>
      </c>
      <c r="B112" s="1" t="s">
        <v>541</v>
      </c>
      <c r="C112" s="1" t="s">
        <v>237</v>
      </c>
      <c r="D112" s="1" t="s">
        <v>135</v>
      </c>
      <c r="E112" s="26" t="s">
        <v>584</v>
      </c>
    </row>
    <row r="113" spans="1:5" x14ac:dyDescent="0.3">
      <c r="A113" s="1" t="s">
        <v>524</v>
      </c>
      <c r="B113" s="1" t="s">
        <v>596</v>
      </c>
      <c r="C113" s="1" t="s">
        <v>411</v>
      </c>
      <c r="D113" s="1" t="s">
        <v>135</v>
      </c>
      <c r="E113" s="26" t="s">
        <v>584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6" t="s">
        <v>584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6" t="s">
        <v>584</v>
      </c>
    </row>
    <row r="116" spans="1:5" x14ac:dyDescent="0.3">
      <c r="A116" s="1" t="s">
        <v>567</v>
      </c>
      <c r="B116" s="1" t="s">
        <v>576</v>
      </c>
      <c r="C116" s="1" t="s">
        <v>577</v>
      </c>
      <c r="D116" s="1" t="s">
        <v>135</v>
      </c>
      <c r="E116" s="26" t="s">
        <v>584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6" t="s">
        <v>584</v>
      </c>
    </row>
    <row r="118" spans="1:5" x14ac:dyDescent="0.3">
      <c r="A118" s="1" t="s">
        <v>420</v>
      </c>
      <c r="B118" s="1" t="s">
        <v>421</v>
      </c>
      <c r="C118" s="1" t="s">
        <v>422</v>
      </c>
      <c r="D118" s="1" t="s">
        <v>303</v>
      </c>
      <c r="E118" s="28" t="s">
        <v>584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6" t="s">
        <v>584</v>
      </c>
    </row>
    <row r="120" spans="1:5" x14ac:dyDescent="0.3">
      <c r="A120" s="1" t="s">
        <v>216</v>
      </c>
      <c r="B120" s="1" t="s">
        <v>176</v>
      </c>
      <c r="C120" s="1" t="s">
        <v>217</v>
      </c>
      <c r="D120" s="1" t="s">
        <v>135</v>
      </c>
      <c r="E120" s="26" t="s">
        <v>584</v>
      </c>
    </row>
    <row r="121" spans="1:5" x14ac:dyDescent="0.3">
      <c r="A121" s="1" t="s">
        <v>221</v>
      </c>
      <c r="B121" s="1" t="s">
        <v>176</v>
      </c>
      <c r="C121" s="1" t="s">
        <v>222</v>
      </c>
      <c r="D121" s="1" t="s">
        <v>135</v>
      </c>
      <c r="E121" s="26" t="s">
        <v>584</v>
      </c>
    </row>
    <row r="122" spans="1:5" x14ac:dyDescent="0.3">
      <c r="A122" s="1" t="s">
        <v>511</v>
      </c>
      <c r="B122" s="1" t="s">
        <v>520</v>
      </c>
      <c r="C122" s="1" t="s">
        <v>521</v>
      </c>
      <c r="D122" s="1" t="s">
        <v>135</v>
      </c>
      <c r="E122" s="26" t="s">
        <v>584</v>
      </c>
    </row>
    <row r="123" spans="1:5" x14ac:dyDescent="0.3">
      <c r="A123" s="1"/>
      <c r="B123" s="1"/>
      <c r="C123" s="1"/>
      <c r="D123" s="1"/>
      <c r="E123" s="27"/>
    </row>
    <row r="124" spans="1:5" x14ac:dyDescent="0.3">
      <c r="A124" s="1"/>
      <c r="B124" s="1"/>
      <c r="C124" s="1"/>
      <c r="D124" s="1"/>
      <c r="E124" s="27"/>
    </row>
    <row r="125" spans="1:5" x14ac:dyDescent="0.3">
      <c r="A125" s="1"/>
      <c r="B125" s="1"/>
      <c r="C125" s="1"/>
      <c r="D125" s="1"/>
      <c r="E125" s="27"/>
    </row>
    <row r="126" spans="1:5" x14ac:dyDescent="0.3">
      <c r="A126" s="1"/>
      <c r="B126" s="1"/>
      <c r="C126" s="1"/>
      <c r="D126" s="1"/>
      <c r="E126" s="27"/>
    </row>
    <row r="127" spans="1:5" x14ac:dyDescent="0.3">
      <c r="A127" s="1"/>
      <c r="B127" s="1"/>
      <c r="C127" s="1"/>
      <c r="D127" s="1"/>
      <c r="E127" s="27"/>
    </row>
    <row r="128" spans="1:5" x14ac:dyDescent="0.3">
      <c r="A128" s="1"/>
      <c r="B128" s="1"/>
      <c r="C128" s="1"/>
      <c r="D128" s="1"/>
      <c r="E128" s="27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AA25" sqref="AA25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597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zoomScaleNormal="100" workbookViewId="0">
      <selection activeCell="G1" sqref="G1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1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403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393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598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599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399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402</v>
      </c>
      <c r="C10" s="1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394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404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396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395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392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401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397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398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400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476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477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478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479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480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481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482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483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484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485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486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487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488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489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490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491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492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493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494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495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496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497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498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499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500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501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502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503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504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505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66B7E-31B7-4E90-AAA1-37832E708052}">
  <sheetPr codeName="Feuil7"/>
  <dimension ref="A1:AA30"/>
  <sheetViews>
    <sheetView tabSelected="1" view="pageLayout" zoomScaleNormal="100" workbookViewId="0">
      <selection activeCell="H31" sqref="H31"/>
    </sheetView>
  </sheetViews>
  <sheetFormatPr baseColWidth="10" defaultRowHeight="14.4" x14ac:dyDescent="0.3"/>
  <cols>
    <col min="1" max="1" width="6" customWidth="1"/>
    <col min="2" max="2" width="6.88671875" customWidth="1"/>
    <col min="3" max="3" width="8.5546875" customWidth="1"/>
    <col min="4" max="4" width="7.6640625" customWidth="1"/>
    <col min="5" max="5" width="26.77734375" customWidth="1"/>
    <col min="6" max="6" width="5.21875" customWidth="1"/>
    <col min="7" max="7" width="8.77734375" customWidth="1"/>
    <col min="8" max="8" width="6.6640625" customWidth="1"/>
    <col min="10" max="10" width="6" customWidth="1"/>
    <col min="11" max="11" width="6.88671875" customWidth="1"/>
    <col min="12" max="12" width="8.5546875" customWidth="1"/>
    <col min="13" max="13" width="7.6640625" customWidth="1"/>
    <col min="14" max="14" width="26.77734375" customWidth="1"/>
    <col min="15" max="15" width="5.21875" customWidth="1"/>
    <col min="16" max="16" width="8.77734375" customWidth="1"/>
    <col min="17" max="17" width="6.6640625" customWidth="1"/>
    <col min="19" max="19" width="6" customWidth="1"/>
    <col min="20" max="20" width="6.88671875" customWidth="1"/>
    <col min="21" max="21" width="8.5546875" customWidth="1"/>
    <col min="22" max="22" width="7.6640625" customWidth="1"/>
    <col min="23" max="23" width="26.77734375" customWidth="1"/>
    <col min="24" max="24" width="5.21875" customWidth="1"/>
    <col min="25" max="25" width="8.77734375" customWidth="1"/>
    <col min="26" max="26" width="6.6640625" customWidth="1"/>
  </cols>
  <sheetData>
    <row r="1" spans="1:27" x14ac:dyDescent="0.3">
      <c r="A1" s="76" t="e" vm="1">
        <f t="shared" ref="A1" si="0">_xlfn.IMAGE("https://intranet.helha.be/wp-content/uploads/2021/03/LOGO_HELHa.png", "Logo Helha")</f>
        <v>#VALUE!</v>
      </c>
      <c r="B1" s="76"/>
      <c r="C1" s="76"/>
      <c r="E1" t="s">
        <v>600</v>
      </c>
      <c r="F1" s="77" t="s">
        <v>603</v>
      </c>
      <c r="G1" s="77"/>
      <c r="H1" s="77"/>
      <c r="I1" s="77"/>
      <c r="J1" s="76" t="e" vm="1">
        <f t="shared" ref="J1" si="1">_xlfn.IMAGE("https://intranet.helha.be/wp-content/uploads/2021/03/LOGO_HELHa.png", "Logo Helha")</f>
        <v>#VALUE!</v>
      </c>
      <c r="K1" s="76"/>
      <c r="L1" s="76"/>
      <c r="N1" t="s">
        <v>600</v>
      </c>
      <c r="O1" s="77" t="s">
        <v>603</v>
      </c>
      <c r="P1" s="77"/>
      <c r="Q1" s="77"/>
      <c r="R1" s="77"/>
      <c r="S1" s="76" t="e" vm="1">
        <f t="shared" ref="S1" si="2">_xlfn.IMAGE("https://intranet.helha.be/wp-content/uploads/2021/03/LOGO_HELHa.png", "Logo Helha")</f>
        <v>#VALUE!</v>
      </c>
      <c r="T1" s="76"/>
      <c r="U1" s="76"/>
      <c r="W1" t="s">
        <v>600</v>
      </c>
      <c r="X1" s="77" t="s">
        <v>603</v>
      </c>
      <c r="Y1" s="77"/>
      <c r="Z1" s="77"/>
      <c r="AA1" s="77"/>
    </row>
    <row r="2" spans="1:27" x14ac:dyDescent="0.3">
      <c r="A2" s="76"/>
      <c r="B2" s="76"/>
      <c r="C2" s="76"/>
      <c r="E2" t="s">
        <v>601</v>
      </c>
      <c r="F2" s="77" t="s">
        <v>604</v>
      </c>
      <c r="G2" s="77"/>
      <c r="H2" s="77"/>
      <c r="I2" s="77"/>
      <c r="J2" s="76"/>
      <c r="K2" s="76"/>
      <c r="L2" s="76"/>
      <c r="N2" t="s">
        <v>601</v>
      </c>
      <c r="O2" s="77" t="s">
        <v>604</v>
      </c>
      <c r="P2" s="77"/>
      <c r="Q2" s="77"/>
      <c r="R2" s="77"/>
      <c r="S2" s="76"/>
      <c r="T2" s="76"/>
      <c r="U2" s="76"/>
      <c r="W2" t="s">
        <v>601</v>
      </c>
      <c r="X2" s="77" t="s">
        <v>604</v>
      </c>
      <c r="Y2" s="77"/>
      <c r="Z2" s="77"/>
      <c r="AA2" s="77"/>
    </row>
    <row r="3" spans="1:27" x14ac:dyDescent="0.3">
      <c r="A3" s="76"/>
      <c r="B3" s="76"/>
      <c r="C3" s="76"/>
      <c r="E3" s="77" t="s">
        <v>602</v>
      </c>
      <c r="F3" s="77"/>
      <c r="J3" s="76"/>
      <c r="K3" s="76"/>
      <c r="L3" s="76"/>
      <c r="N3" s="77" t="s">
        <v>602</v>
      </c>
      <c r="O3" s="77"/>
      <c r="S3" s="76"/>
      <c r="T3" s="76"/>
      <c r="U3" s="76"/>
      <c r="W3" s="77" t="s">
        <v>602</v>
      </c>
      <c r="X3" s="77"/>
    </row>
    <row r="6" spans="1:27" x14ac:dyDescent="0.3">
      <c r="A6" s="78" t="s">
        <v>605</v>
      </c>
      <c r="B6" s="79"/>
      <c r="C6" s="29" t="s">
        <v>606</v>
      </c>
      <c r="E6" s="80" t="s">
        <v>607</v>
      </c>
      <c r="F6" s="81"/>
      <c r="G6" s="82"/>
      <c r="I6" s="33" t="s">
        <v>611</v>
      </c>
      <c r="J6" s="78" t="s">
        <v>605</v>
      </c>
      <c r="K6" s="79"/>
      <c r="L6" s="29" t="s">
        <v>606</v>
      </c>
      <c r="N6" s="80" t="s">
        <v>607</v>
      </c>
      <c r="O6" s="81"/>
      <c r="P6" s="82"/>
      <c r="R6" s="33" t="s">
        <v>611</v>
      </c>
      <c r="S6" s="78" t="s">
        <v>605</v>
      </c>
      <c r="T6" s="79"/>
      <c r="U6" s="29" t="s">
        <v>606</v>
      </c>
      <c r="W6" s="80" t="s">
        <v>607</v>
      </c>
      <c r="X6" s="81"/>
      <c r="Y6" s="82"/>
      <c r="AA6" s="33" t="s">
        <v>611</v>
      </c>
    </row>
    <row r="7" spans="1:27" x14ac:dyDescent="0.3">
      <c r="A7" s="70" t="s">
        <v>613</v>
      </c>
      <c r="B7" s="71"/>
      <c r="C7" s="30" t="s">
        <v>614</v>
      </c>
      <c r="E7" s="32" t="s">
        <v>608</v>
      </c>
      <c r="F7" s="65" t="s">
        <v>609</v>
      </c>
      <c r="G7" s="66"/>
      <c r="I7" s="34" t="s">
        <v>612</v>
      </c>
      <c r="J7" s="70" t="s">
        <v>613</v>
      </c>
      <c r="K7" s="71"/>
      <c r="L7" s="30" t="s">
        <v>614</v>
      </c>
      <c r="N7" s="32" t="s">
        <v>608</v>
      </c>
      <c r="O7" s="65" t="s">
        <v>609</v>
      </c>
      <c r="P7" s="66"/>
      <c r="R7" s="34" t="s">
        <v>612</v>
      </c>
      <c r="S7" s="70" t="s">
        <v>613</v>
      </c>
      <c r="T7" s="71"/>
      <c r="U7" s="30" t="s">
        <v>614</v>
      </c>
      <c r="W7" s="32" t="s">
        <v>608</v>
      </c>
      <c r="X7" s="65" t="s">
        <v>609</v>
      </c>
      <c r="Y7" s="66"/>
      <c r="AA7" s="34" t="s">
        <v>612</v>
      </c>
    </row>
    <row r="8" spans="1:27" x14ac:dyDescent="0.3">
      <c r="A8" s="72" t="s">
        <v>515</v>
      </c>
      <c r="B8" s="73"/>
      <c r="C8" s="31"/>
      <c r="E8" s="67" t="s">
        <v>610</v>
      </c>
      <c r="F8" s="68"/>
      <c r="G8" s="69"/>
      <c r="I8" s="16">
        <f ca="1">SUMIF($A$12:$I$29,"UE",$I$12:$I$29)</f>
        <v>8</v>
      </c>
      <c r="J8" s="72" t="s">
        <v>515</v>
      </c>
      <c r="K8" s="73"/>
      <c r="L8" s="31"/>
      <c r="N8" s="67" t="s">
        <v>610</v>
      </c>
      <c r="O8" s="68"/>
      <c r="P8" s="69"/>
      <c r="R8" s="16">
        <f ca="1">SUMIF($J$12:$R$26,"UE",$R$12:$R$26)</f>
        <v>0</v>
      </c>
      <c r="S8" s="72" t="s">
        <v>515</v>
      </c>
      <c r="T8" s="73"/>
      <c r="U8" s="31"/>
      <c r="W8" s="67" t="s">
        <v>610</v>
      </c>
      <c r="X8" s="68"/>
      <c r="Y8" s="69"/>
      <c r="AA8" s="16">
        <f ca="1">SUMIF($S$12:$AA$25,"UE",$AA$12:$AA$25)</f>
        <v>0</v>
      </c>
    </row>
    <row r="10" spans="1:27" x14ac:dyDescent="0.3">
      <c r="A10" s="36" t="s">
        <v>615</v>
      </c>
      <c r="B10" s="61" t="s">
        <v>616</v>
      </c>
      <c r="C10" s="61"/>
      <c r="D10" s="61" t="s">
        <v>617</v>
      </c>
      <c r="E10" s="61"/>
      <c r="F10" s="61" t="s">
        <v>618</v>
      </c>
      <c r="G10" s="74" t="s">
        <v>619</v>
      </c>
      <c r="H10" s="61" t="s">
        <v>620</v>
      </c>
      <c r="I10" s="63" t="s">
        <v>621</v>
      </c>
      <c r="J10" s="36" t="s">
        <v>661</v>
      </c>
      <c r="K10" s="61" t="s">
        <v>616</v>
      </c>
      <c r="L10" s="61"/>
      <c r="M10" s="61" t="s">
        <v>617</v>
      </c>
      <c r="N10" s="61"/>
      <c r="O10" s="61" t="s">
        <v>618</v>
      </c>
      <c r="P10" s="74" t="s">
        <v>619</v>
      </c>
      <c r="Q10" s="61" t="s">
        <v>620</v>
      </c>
      <c r="R10" s="63" t="s">
        <v>621</v>
      </c>
      <c r="S10" s="36" t="s">
        <v>692</v>
      </c>
      <c r="T10" s="61" t="s">
        <v>616</v>
      </c>
      <c r="U10" s="61"/>
      <c r="V10" s="61" t="s">
        <v>617</v>
      </c>
      <c r="W10" s="61"/>
      <c r="X10" s="61" t="s">
        <v>618</v>
      </c>
      <c r="Y10" s="74" t="s">
        <v>619</v>
      </c>
      <c r="Z10" s="61" t="s">
        <v>620</v>
      </c>
      <c r="AA10" s="63" t="s">
        <v>621</v>
      </c>
    </row>
    <row r="11" spans="1:27" x14ac:dyDescent="0.3">
      <c r="A11" s="35"/>
      <c r="B11" s="62"/>
      <c r="C11" s="62"/>
      <c r="D11" s="62"/>
      <c r="E11" s="62"/>
      <c r="F11" s="62"/>
      <c r="G11" s="75"/>
      <c r="H11" s="62"/>
      <c r="I11" s="64"/>
      <c r="J11" s="35"/>
      <c r="K11" s="62"/>
      <c r="L11" s="62"/>
      <c r="M11" s="62"/>
      <c r="N11" s="62"/>
      <c r="O11" s="62"/>
      <c r="P11" s="75"/>
      <c r="Q11" s="62"/>
      <c r="R11" s="64"/>
      <c r="S11" s="35"/>
      <c r="T11" s="62"/>
      <c r="U11" s="62"/>
      <c r="V11" s="62"/>
      <c r="W11" s="62"/>
      <c r="X11" s="62"/>
      <c r="Y11" s="75"/>
      <c r="Z11" s="62"/>
      <c r="AA11" s="64"/>
    </row>
    <row r="12" spans="1:27" x14ac:dyDescent="0.3">
      <c r="A12" s="43" t="s">
        <v>622</v>
      </c>
      <c r="B12" s="59" t="s">
        <v>623</v>
      </c>
      <c r="C12" s="60"/>
      <c r="D12" s="59" t="s">
        <v>624</v>
      </c>
      <c r="E12" s="60"/>
      <c r="F12" s="37" t="s">
        <v>625</v>
      </c>
      <c r="G12" s="37" t="s">
        <v>626</v>
      </c>
      <c r="H12" s="38">
        <v>4</v>
      </c>
      <c r="I12" s="37" t="s">
        <v>370</v>
      </c>
      <c r="J12" s="43" t="s">
        <v>622</v>
      </c>
      <c r="K12" s="59" t="s">
        <v>662</v>
      </c>
      <c r="L12" s="60"/>
      <c r="M12" s="59" t="s">
        <v>663</v>
      </c>
      <c r="N12" s="60"/>
      <c r="O12" s="37" t="s">
        <v>625</v>
      </c>
      <c r="P12" s="37" t="s">
        <v>370</v>
      </c>
      <c r="Q12" s="38">
        <v>4</v>
      </c>
      <c r="R12" s="37" t="s">
        <v>370</v>
      </c>
      <c r="S12" s="43" t="s">
        <v>622</v>
      </c>
      <c r="T12" s="59" t="s">
        <v>693</v>
      </c>
      <c r="U12" s="60"/>
      <c r="V12" s="59" t="s">
        <v>694</v>
      </c>
      <c r="W12" s="60"/>
      <c r="X12" s="38">
        <v>1</v>
      </c>
      <c r="Y12" s="37" t="s">
        <v>370</v>
      </c>
      <c r="Z12" s="38">
        <v>3</v>
      </c>
      <c r="AA12" s="46" t="s">
        <v>370</v>
      </c>
    </row>
    <row r="13" spans="1:27" x14ac:dyDescent="0.3">
      <c r="A13" s="44" t="s">
        <v>367</v>
      </c>
      <c r="B13" s="58" t="s">
        <v>627</v>
      </c>
      <c r="C13" s="58"/>
      <c r="D13" s="58" t="s">
        <v>628</v>
      </c>
      <c r="E13" s="58"/>
      <c r="F13" s="41" t="s">
        <v>626</v>
      </c>
      <c r="G13" s="42">
        <v>5.3</v>
      </c>
      <c r="H13" s="42">
        <v>4</v>
      </c>
      <c r="I13" s="47" t="s">
        <v>370</v>
      </c>
      <c r="J13" s="44" t="s">
        <v>367</v>
      </c>
      <c r="K13" s="58" t="s">
        <v>664</v>
      </c>
      <c r="L13" s="58"/>
      <c r="M13" s="58" t="s">
        <v>665</v>
      </c>
      <c r="N13" s="58"/>
      <c r="O13" s="41" t="s">
        <v>626</v>
      </c>
      <c r="P13" s="41" t="s">
        <v>370</v>
      </c>
      <c r="Q13" s="42">
        <v>2</v>
      </c>
      <c r="R13" s="47" t="s">
        <v>370</v>
      </c>
      <c r="S13" s="44" t="s">
        <v>367</v>
      </c>
      <c r="T13" s="58" t="s">
        <v>695</v>
      </c>
      <c r="U13" s="58"/>
      <c r="V13" s="58" t="s">
        <v>696</v>
      </c>
      <c r="W13" s="58"/>
      <c r="X13" s="41" t="s">
        <v>626</v>
      </c>
      <c r="Y13" s="41" t="s">
        <v>370</v>
      </c>
      <c r="Z13" s="42">
        <v>3</v>
      </c>
      <c r="AA13" s="47" t="s">
        <v>370</v>
      </c>
    </row>
    <row r="14" spans="1:27" x14ac:dyDescent="0.3">
      <c r="A14" s="43" t="s">
        <v>622</v>
      </c>
      <c r="B14" s="59" t="s">
        <v>629</v>
      </c>
      <c r="C14" s="60"/>
      <c r="D14" s="59" t="s">
        <v>630</v>
      </c>
      <c r="E14" s="60"/>
      <c r="F14" s="38">
        <v>1</v>
      </c>
      <c r="G14" s="38">
        <v>6</v>
      </c>
      <c r="H14" s="38">
        <v>11</v>
      </c>
      <c r="I14" s="38">
        <v>0</v>
      </c>
      <c r="J14" s="43" t="s">
        <v>622</v>
      </c>
      <c r="K14" s="59" t="s">
        <v>666</v>
      </c>
      <c r="L14" s="60"/>
      <c r="M14" s="59" t="s">
        <v>667</v>
      </c>
      <c r="N14" s="60"/>
      <c r="O14" s="38">
        <v>1</v>
      </c>
      <c r="P14" s="37" t="s">
        <v>370</v>
      </c>
      <c r="Q14" s="38">
        <v>5</v>
      </c>
      <c r="R14" s="37" t="s">
        <v>370</v>
      </c>
      <c r="S14" s="43" t="s">
        <v>622</v>
      </c>
      <c r="T14" s="59" t="s">
        <v>697</v>
      </c>
      <c r="U14" s="60"/>
      <c r="V14" s="59" t="s">
        <v>698</v>
      </c>
      <c r="W14" s="60"/>
      <c r="X14" s="38">
        <v>1</v>
      </c>
      <c r="Y14" s="37" t="s">
        <v>370</v>
      </c>
      <c r="Z14" s="38">
        <v>2</v>
      </c>
      <c r="AA14" s="46" t="s">
        <v>370</v>
      </c>
    </row>
    <row r="15" spans="1:27" x14ac:dyDescent="0.3">
      <c r="A15" s="45" t="s">
        <v>367</v>
      </c>
      <c r="B15" s="83" t="s">
        <v>631</v>
      </c>
      <c r="C15" s="83"/>
      <c r="D15" s="83" t="s">
        <v>632</v>
      </c>
      <c r="E15" s="83"/>
      <c r="F15" s="39" t="s">
        <v>626</v>
      </c>
      <c r="G15" s="40">
        <v>8</v>
      </c>
      <c r="H15" s="40">
        <v>6</v>
      </c>
      <c r="I15" s="49">
        <v>0</v>
      </c>
      <c r="J15" s="44" t="s">
        <v>367</v>
      </c>
      <c r="K15" s="58" t="s">
        <v>668</v>
      </c>
      <c r="L15" s="58"/>
      <c r="M15" s="58" t="s">
        <v>669</v>
      </c>
      <c r="N15" s="58"/>
      <c r="O15" s="41" t="s">
        <v>626</v>
      </c>
      <c r="P15" s="41" t="s">
        <v>370</v>
      </c>
      <c r="Q15" s="42">
        <v>5</v>
      </c>
      <c r="R15" s="47" t="s">
        <v>370</v>
      </c>
      <c r="S15" s="44" t="s">
        <v>367</v>
      </c>
      <c r="T15" s="58" t="s">
        <v>699</v>
      </c>
      <c r="U15" s="58"/>
      <c r="V15" s="58" t="s">
        <v>700</v>
      </c>
      <c r="W15" s="58"/>
      <c r="X15" s="41" t="s">
        <v>626</v>
      </c>
      <c r="Y15" s="41" t="s">
        <v>370</v>
      </c>
      <c r="Z15" s="42">
        <v>2</v>
      </c>
      <c r="AA15" s="47" t="s">
        <v>370</v>
      </c>
    </row>
    <row r="16" spans="1:27" x14ac:dyDescent="0.3">
      <c r="A16" s="44" t="s">
        <v>367</v>
      </c>
      <c r="B16" s="58" t="s">
        <v>633</v>
      </c>
      <c r="C16" s="58"/>
      <c r="D16" s="58" t="s">
        <v>634</v>
      </c>
      <c r="E16" s="58"/>
      <c r="F16" s="41" t="s">
        <v>626</v>
      </c>
      <c r="G16" s="42">
        <v>6.1</v>
      </c>
      <c r="H16" s="42">
        <v>5</v>
      </c>
      <c r="I16" s="55">
        <v>0</v>
      </c>
      <c r="J16" s="43" t="s">
        <v>622</v>
      </c>
      <c r="K16" s="59" t="s">
        <v>670</v>
      </c>
      <c r="L16" s="60"/>
      <c r="M16" s="59" t="s">
        <v>671</v>
      </c>
      <c r="N16" s="60"/>
      <c r="O16" s="38">
        <v>1</v>
      </c>
      <c r="P16" s="37" t="s">
        <v>370</v>
      </c>
      <c r="Q16" s="38">
        <v>6</v>
      </c>
      <c r="R16" s="37" t="s">
        <v>370</v>
      </c>
      <c r="S16" s="43" t="s">
        <v>622</v>
      </c>
      <c r="T16" s="59" t="s">
        <v>701</v>
      </c>
      <c r="U16" s="60"/>
      <c r="V16" s="59" t="s">
        <v>702</v>
      </c>
      <c r="W16" s="60"/>
      <c r="X16" s="38">
        <v>1</v>
      </c>
      <c r="Y16" s="37" t="s">
        <v>370</v>
      </c>
      <c r="Z16" s="38">
        <v>4</v>
      </c>
      <c r="AA16" s="46" t="s">
        <v>370</v>
      </c>
    </row>
    <row r="17" spans="1:27" x14ac:dyDescent="0.3">
      <c r="A17" s="43" t="s">
        <v>622</v>
      </c>
      <c r="B17" s="59" t="s">
        <v>635</v>
      </c>
      <c r="C17" s="60"/>
      <c r="D17" s="59" t="s">
        <v>636</v>
      </c>
      <c r="E17" s="60"/>
      <c r="F17" s="37" t="s">
        <v>625</v>
      </c>
      <c r="G17" s="37" t="s">
        <v>626</v>
      </c>
      <c r="H17" s="38">
        <v>5</v>
      </c>
      <c r="I17" s="46" t="s">
        <v>370</v>
      </c>
      <c r="J17" s="45" t="s">
        <v>367</v>
      </c>
      <c r="K17" s="83" t="s">
        <v>672</v>
      </c>
      <c r="L17" s="83"/>
      <c r="M17" s="83" t="s">
        <v>673</v>
      </c>
      <c r="N17" s="83"/>
      <c r="O17" s="39" t="s">
        <v>626</v>
      </c>
      <c r="P17" s="39" t="s">
        <v>370</v>
      </c>
      <c r="Q17" s="40">
        <v>3</v>
      </c>
      <c r="R17" s="51" t="s">
        <v>370</v>
      </c>
      <c r="S17" s="44" t="s">
        <v>367</v>
      </c>
      <c r="T17" s="58" t="s">
        <v>703</v>
      </c>
      <c r="U17" s="58"/>
      <c r="V17" s="58" t="s">
        <v>704</v>
      </c>
      <c r="W17" s="58"/>
      <c r="X17" s="41" t="s">
        <v>626</v>
      </c>
      <c r="Y17" s="41" t="s">
        <v>370</v>
      </c>
      <c r="Z17" s="42">
        <v>4</v>
      </c>
      <c r="AA17" s="47" t="s">
        <v>370</v>
      </c>
    </row>
    <row r="18" spans="1:27" x14ac:dyDescent="0.3">
      <c r="A18" s="44" t="s">
        <v>367</v>
      </c>
      <c r="B18" s="58" t="s">
        <v>637</v>
      </c>
      <c r="C18" s="58"/>
      <c r="D18" s="58" t="s">
        <v>638</v>
      </c>
      <c r="E18" s="58"/>
      <c r="F18" s="41" t="s">
        <v>626</v>
      </c>
      <c r="G18" s="42">
        <v>4.5</v>
      </c>
      <c r="H18" s="42">
        <v>5</v>
      </c>
      <c r="I18" s="47" t="s">
        <v>370</v>
      </c>
      <c r="J18" s="44" t="s">
        <v>367</v>
      </c>
      <c r="K18" s="58" t="s">
        <v>674</v>
      </c>
      <c r="L18" s="58"/>
      <c r="M18" s="58" t="s">
        <v>675</v>
      </c>
      <c r="N18" s="58"/>
      <c r="O18" s="41" t="s">
        <v>626</v>
      </c>
      <c r="P18" s="41" t="s">
        <v>370</v>
      </c>
      <c r="Q18" s="42">
        <v>3</v>
      </c>
      <c r="R18" s="56" t="s">
        <v>370</v>
      </c>
      <c r="S18" s="43" t="s">
        <v>622</v>
      </c>
      <c r="T18" s="59" t="s">
        <v>705</v>
      </c>
      <c r="U18" s="60"/>
      <c r="V18" s="59" t="s">
        <v>706</v>
      </c>
      <c r="W18" s="60"/>
      <c r="X18" s="38">
        <v>1</v>
      </c>
      <c r="Y18" s="37" t="s">
        <v>370</v>
      </c>
      <c r="Z18" s="38">
        <v>4</v>
      </c>
      <c r="AA18" s="46" t="s">
        <v>370</v>
      </c>
    </row>
    <row r="19" spans="1:27" x14ac:dyDescent="0.3">
      <c r="A19" s="43" t="s">
        <v>622</v>
      </c>
      <c r="B19" s="59" t="s">
        <v>639</v>
      </c>
      <c r="C19" s="60"/>
      <c r="D19" s="59" t="s">
        <v>640</v>
      </c>
      <c r="E19" s="60"/>
      <c r="F19" s="37" t="s">
        <v>625</v>
      </c>
      <c r="G19" s="37" t="s">
        <v>626</v>
      </c>
      <c r="H19" s="38">
        <v>4</v>
      </c>
      <c r="I19" s="37" t="s">
        <v>370</v>
      </c>
      <c r="J19" s="43" t="s">
        <v>622</v>
      </c>
      <c r="K19" s="59" t="s">
        <v>676</v>
      </c>
      <c r="L19" s="60"/>
      <c r="M19" s="59" t="s">
        <v>677</v>
      </c>
      <c r="N19" s="60"/>
      <c r="O19" s="37" t="s">
        <v>625</v>
      </c>
      <c r="P19" s="37" t="s">
        <v>370</v>
      </c>
      <c r="Q19" s="38">
        <v>3</v>
      </c>
      <c r="R19" s="46" t="s">
        <v>370</v>
      </c>
      <c r="S19" s="44" t="s">
        <v>367</v>
      </c>
      <c r="T19" s="58" t="s">
        <v>707</v>
      </c>
      <c r="U19" s="58"/>
      <c r="V19" s="58" t="s">
        <v>708</v>
      </c>
      <c r="W19" s="58"/>
      <c r="X19" s="41" t="s">
        <v>626</v>
      </c>
      <c r="Y19" s="41" t="s">
        <v>370</v>
      </c>
      <c r="Z19" s="42">
        <v>4</v>
      </c>
      <c r="AA19" s="47" t="s">
        <v>370</v>
      </c>
    </row>
    <row r="20" spans="1:27" x14ac:dyDescent="0.3">
      <c r="A20" s="44" t="s">
        <v>367</v>
      </c>
      <c r="B20" s="58" t="s">
        <v>641</v>
      </c>
      <c r="C20" s="58"/>
      <c r="D20" s="58" t="s">
        <v>642</v>
      </c>
      <c r="E20" s="58"/>
      <c r="F20" s="41" t="s">
        <v>626</v>
      </c>
      <c r="G20" s="42">
        <v>7</v>
      </c>
      <c r="H20" s="42">
        <v>2</v>
      </c>
      <c r="I20" s="47" t="s">
        <v>370</v>
      </c>
      <c r="J20" s="44" t="s">
        <v>367</v>
      </c>
      <c r="K20" s="58" t="s">
        <v>678</v>
      </c>
      <c r="L20" s="58"/>
      <c r="M20" s="58" t="s">
        <v>679</v>
      </c>
      <c r="N20" s="58"/>
      <c r="O20" s="41" t="s">
        <v>626</v>
      </c>
      <c r="P20" s="41" t="s">
        <v>370</v>
      </c>
      <c r="Q20" s="42">
        <v>3</v>
      </c>
      <c r="R20" s="56" t="s">
        <v>370</v>
      </c>
      <c r="S20" s="43" t="s">
        <v>622</v>
      </c>
      <c r="T20" s="59" t="s">
        <v>709</v>
      </c>
      <c r="U20" s="60"/>
      <c r="V20" s="59" t="s">
        <v>710</v>
      </c>
      <c r="W20" s="60"/>
      <c r="X20" s="38">
        <v>1</v>
      </c>
      <c r="Y20" s="37" t="s">
        <v>370</v>
      </c>
      <c r="Z20" s="38">
        <v>5</v>
      </c>
      <c r="AA20" s="46" t="s">
        <v>370</v>
      </c>
    </row>
    <row r="21" spans="1:27" x14ac:dyDescent="0.3">
      <c r="A21" s="43" t="s">
        <v>622</v>
      </c>
      <c r="B21" s="59" t="s">
        <v>643</v>
      </c>
      <c r="C21" s="60"/>
      <c r="D21" s="59" t="s">
        <v>644</v>
      </c>
      <c r="E21" s="60"/>
      <c r="F21" s="38">
        <v>1</v>
      </c>
      <c r="G21" s="38">
        <v>11.5</v>
      </c>
      <c r="H21" s="38">
        <v>2</v>
      </c>
      <c r="I21" s="38">
        <v>2</v>
      </c>
      <c r="J21" s="43" t="s">
        <v>622</v>
      </c>
      <c r="K21" s="59" t="s">
        <v>680</v>
      </c>
      <c r="L21" s="60"/>
      <c r="M21" s="59" t="s">
        <v>681</v>
      </c>
      <c r="N21" s="60"/>
      <c r="O21" s="38">
        <v>1</v>
      </c>
      <c r="P21" s="37" t="s">
        <v>370</v>
      </c>
      <c r="Q21" s="38">
        <v>2</v>
      </c>
      <c r="R21" s="46" t="s">
        <v>370</v>
      </c>
      <c r="S21" s="44" t="s">
        <v>367</v>
      </c>
      <c r="T21" s="58" t="s">
        <v>711</v>
      </c>
      <c r="U21" s="58"/>
      <c r="V21" s="58" t="s">
        <v>712</v>
      </c>
      <c r="W21" s="58"/>
      <c r="X21" s="41" t="s">
        <v>626</v>
      </c>
      <c r="Y21" s="41" t="s">
        <v>370</v>
      </c>
      <c r="Z21" s="42">
        <v>5</v>
      </c>
      <c r="AA21" s="47" t="s">
        <v>370</v>
      </c>
    </row>
    <row r="22" spans="1:27" x14ac:dyDescent="0.3">
      <c r="A22" s="44" t="s">
        <v>367</v>
      </c>
      <c r="B22" s="58" t="s">
        <v>645</v>
      </c>
      <c r="C22" s="58"/>
      <c r="D22" s="58" t="s">
        <v>646</v>
      </c>
      <c r="E22" s="58"/>
      <c r="F22" s="41" t="s">
        <v>626</v>
      </c>
      <c r="G22" s="42">
        <v>11.6</v>
      </c>
      <c r="H22" s="42">
        <v>2</v>
      </c>
      <c r="I22" s="50">
        <v>2</v>
      </c>
      <c r="J22" s="44" t="s">
        <v>367</v>
      </c>
      <c r="K22" s="58" t="s">
        <v>682</v>
      </c>
      <c r="L22" s="58"/>
      <c r="M22" s="58" t="s">
        <v>683</v>
      </c>
      <c r="N22" s="58"/>
      <c r="O22" s="41" t="s">
        <v>626</v>
      </c>
      <c r="P22" s="41" t="s">
        <v>370</v>
      </c>
      <c r="Q22" s="42">
        <v>2</v>
      </c>
      <c r="R22" s="56" t="s">
        <v>370</v>
      </c>
      <c r="S22" s="43" t="s">
        <v>622</v>
      </c>
      <c r="T22" s="59" t="s">
        <v>713</v>
      </c>
      <c r="U22" s="60"/>
      <c r="V22" s="59" t="s">
        <v>714</v>
      </c>
      <c r="W22" s="60"/>
      <c r="X22" s="38">
        <v>1</v>
      </c>
      <c r="Y22" s="37" t="s">
        <v>370</v>
      </c>
      <c r="Z22" s="38">
        <v>4</v>
      </c>
      <c r="AA22" s="46" t="s">
        <v>370</v>
      </c>
    </row>
    <row r="23" spans="1:27" x14ac:dyDescent="0.3">
      <c r="A23" s="43" t="s">
        <v>622</v>
      </c>
      <c r="B23" s="59" t="s">
        <v>647</v>
      </c>
      <c r="C23" s="60"/>
      <c r="D23" s="59" t="s">
        <v>648</v>
      </c>
      <c r="E23" s="60"/>
      <c r="F23" s="37" t="s">
        <v>625</v>
      </c>
      <c r="G23" s="37" t="s">
        <v>626</v>
      </c>
      <c r="H23" s="38">
        <v>5</v>
      </c>
      <c r="I23" s="37" t="s">
        <v>370</v>
      </c>
      <c r="J23" s="43" t="s">
        <v>622</v>
      </c>
      <c r="K23" s="59" t="s">
        <v>684</v>
      </c>
      <c r="L23" s="60"/>
      <c r="M23" s="59" t="s">
        <v>685</v>
      </c>
      <c r="N23" s="60"/>
      <c r="O23" s="38">
        <v>1</v>
      </c>
      <c r="P23" s="37" t="s">
        <v>370</v>
      </c>
      <c r="Q23" s="38">
        <v>3</v>
      </c>
      <c r="R23" s="46" t="s">
        <v>370</v>
      </c>
      <c r="S23" s="44" t="s">
        <v>367</v>
      </c>
      <c r="T23" s="58" t="s">
        <v>715</v>
      </c>
      <c r="U23" s="58"/>
      <c r="V23" s="58" t="s">
        <v>716</v>
      </c>
      <c r="W23" s="58"/>
      <c r="X23" s="41" t="s">
        <v>626</v>
      </c>
      <c r="Y23" s="41" t="s">
        <v>370</v>
      </c>
      <c r="Z23" s="42">
        <v>4</v>
      </c>
      <c r="AA23" s="47" t="s">
        <v>370</v>
      </c>
    </row>
    <row r="24" spans="1:27" x14ac:dyDescent="0.3">
      <c r="A24" s="45" t="s">
        <v>367</v>
      </c>
      <c r="B24" s="83" t="s">
        <v>649</v>
      </c>
      <c r="C24" s="83"/>
      <c r="D24" s="83" t="s">
        <v>650</v>
      </c>
      <c r="E24" s="83"/>
      <c r="F24" s="39" t="s">
        <v>626</v>
      </c>
      <c r="G24" s="40">
        <v>18</v>
      </c>
      <c r="H24" s="40">
        <v>2</v>
      </c>
      <c r="I24" s="51" t="s">
        <v>370</v>
      </c>
      <c r="J24" s="44" t="s">
        <v>367</v>
      </c>
      <c r="K24" s="58" t="s">
        <v>686</v>
      </c>
      <c r="L24" s="58"/>
      <c r="M24" s="58" t="s">
        <v>687</v>
      </c>
      <c r="N24" s="58"/>
      <c r="O24" s="41" t="s">
        <v>626</v>
      </c>
      <c r="P24" s="41" t="s">
        <v>370</v>
      </c>
      <c r="Q24" s="42">
        <v>3</v>
      </c>
      <c r="R24" s="56" t="s">
        <v>370</v>
      </c>
      <c r="S24" s="43" t="s">
        <v>622</v>
      </c>
      <c r="T24" s="59" t="s">
        <v>717</v>
      </c>
      <c r="U24" s="60"/>
      <c r="V24" s="59" t="s">
        <v>718</v>
      </c>
      <c r="W24" s="60"/>
      <c r="X24" s="38">
        <v>1</v>
      </c>
      <c r="Y24" s="37" t="s">
        <v>370</v>
      </c>
      <c r="Z24" s="38">
        <v>2</v>
      </c>
      <c r="AA24" s="46" t="s">
        <v>370</v>
      </c>
    </row>
    <row r="25" spans="1:27" x14ac:dyDescent="0.3">
      <c r="A25" s="44" t="s">
        <v>367</v>
      </c>
      <c r="B25" s="58" t="s">
        <v>651</v>
      </c>
      <c r="C25" s="58"/>
      <c r="D25" s="58" t="s">
        <v>652</v>
      </c>
      <c r="E25" s="58"/>
      <c r="F25" s="41" t="s">
        <v>626</v>
      </c>
      <c r="G25" s="41" t="s">
        <v>370</v>
      </c>
      <c r="H25" s="42">
        <v>3</v>
      </c>
      <c r="I25" s="56" t="s">
        <v>370</v>
      </c>
      <c r="J25" s="43" t="s">
        <v>622</v>
      </c>
      <c r="K25" s="59" t="s">
        <v>688</v>
      </c>
      <c r="L25" s="60"/>
      <c r="M25" s="59" t="s">
        <v>689</v>
      </c>
      <c r="N25" s="60"/>
      <c r="O25" s="38">
        <v>1</v>
      </c>
      <c r="P25" s="37" t="s">
        <v>370</v>
      </c>
      <c r="Q25" s="38">
        <v>3</v>
      </c>
      <c r="R25" s="46" t="s">
        <v>370</v>
      </c>
      <c r="S25" s="44" t="s">
        <v>367</v>
      </c>
      <c r="T25" s="58" t="s">
        <v>719</v>
      </c>
      <c r="U25" s="58"/>
      <c r="V25" s="58" t="s">
        <v>720</v>
      </c>
      <c r="W25" s="58"/>
      <c r="X25" s="41" t="s">
        <v>626</v>
      </c>
      <c r="Y25" s="41" t="s">
        <v>370</v>
      </c>
      <c r="Z25" s="42">
        <v>2</v>
      </c>
      <c r="AA25" s="47" t="s">
        <v>370</v>
      </c>
    </row>
    <row r="26" spans="1:27" x14ac:dyDescent="0.3">
      <c r="A26" s="43" t="s">
        <v>622</v>
      </c>
      <c r="B26" s="59" t="s">
        <v>653</v>
      </c>
      <c r="C26" s="60"/>
      <c r="D26" s="59" t="s">
        <v>654</v>
      </c>
      <c r="E26" s="60"/>
      <c r="F26" s="38">
        <v>1</v>
      </c>
      <c r="G26" s="38">
        <v>11</v>
      </c>
      <c r="H26" s="38">
        <v>4</v>
      </c>
      <c r="I26" s="48">
        <v>4</v>
      </c>
      <c r="J26" s="44" t="s">
        <v>367</v>
      </c>
      <c r="K26" s="58" t="s">
        <v>690</v>
      </c>
      <c r="L26" s="58"/>
      <c r="M26" s="58" t="s">
        <v>691</v>
      </c>
      <c r="N26" s="58"/>
      <c r="O26" s="41" t="s">
        <v>626</v>
      </c>
      <c r="P26" s="41" t="s">
        <v>370</v>
      </c>
      <c r="Q26" s="42">
        <v>3</v>
      </c>
      <c r="R26" s="47" t="s">
        <v>370</v>
      </c>
      <c r="S26" s="52"/>
      <c r="T26" s="57"/>
      <c r="U26" s="57"/>
      <c r="V26" s="57"/>
      <c r="W26" s="57"/>
      <c r="X26" s="53" t="s">
        <v>363</v>
      </c>
      <c r="Y26" s="53" t="str">
        <f ca="1">IF(SUMIF($S$12:$AA$25,"UE",$Y$12:$Y$25)&lt;=0,"-",SUMIF($S$12:$AA$25,"UE",$Y$12:$Y$25))</f>
        <v>-</v>
      </c>
      <c r="Z26" s="53">
        <f ca="1">IF(SUMIF($S$12:$AA$25,"UE",$Z$12:$Z$25)&lt;=0,"-",SUMIF($S$12:$AA$25,"UE",$Z$12:$Z$25))</f>
        <v>24</v>
      </c>
      <c r="AA26" s="54" t="str">
        <f ca="1">IF(SUMIF($S$12:$AA$25,"UE",$AA$12:$AA$25)&lt;=0,"-",SUMIF($S$12:$AA$25,"UE",$AA$12:$AA$25))</f>
        <v>-</v>
      </c>
    </row>
    <row r="27" spans="1:27" x14ac:dyDescent="0.3">
      <c r="A27" s="44" t="s">
        <v>367</v>
      </c>
      <c r="B27" s="58" t="s">
        <v>655</v>
      </c>
      <c r="C27" s="58"/>
      <c r="D27" s="58" t="s">
        <v>656</v>
      </c>
      <c r="E27" s="58"/>
      <c r="F27" s="41" t="s">
        <v>626</v>
      </c>
      <c r="G27" s="42">
        <v>11</v>
      </c>
      <c r="H27" s="42">
        <v>4</v>
      </c>
      <c r="I27" s="50">
        <v>4</v>
      </c>
      <c r="J27" s="52"/>
      <c r="K27" s="57"/>
      <c r="L27" s="57"/>
      <c r="M27" s="57"/>
      <c r="N27" s="57"/>
      <c r="O27" s="53" t="s">
        <v>363</v>
      </c>
      <c r="P27" s="53" t="str">
        <f ca="1">IF(SUMIF($J$12:$R$26,"UE",$P$12:$P$26)&lt;=0,"-",SUMIF($J$12:$R$26,"UE",$P$12:$P$26))</f>
        <v>-</v>
      </c>
      <c r="Q27" s="53">
        <f ca="1">IF(SUMIF($J$12:$R$26,"UE",$Q$12:$Q$26)&lt;=0,"-",SUMIF($J$12:$R$26,"UE",$Q$12:$Q$26))</f>
        <v>26</v>
      </c>
      <c r="R27" s="54" t="str">
        <f ca="1">IF(SUMIF($J$12:$R$26,"UE",$R$12:$R$26)&lt;=0,"-",SUMIF($J$12:$R$26,"UE",$R$12:$R$26))</f>
        <v>-</v>
      </c>
    </row>
    <row r="28" spans="1:27" x14ac:dyDescent="0.3">
      <c r="A28" s="43" t="s">
        <v>622</v>
      </c>
      <c r="B28" s="59" t="s">
        <v>657</v>
      </c>
      <c r="C28" s="60"/>
      <c r="D28" s="59" t="s">
        <v>658</v>
      </c>
      <c r="E28" s="60"/>
      <c r="F28" s="38">
        <v>1</v>
      </c>
      <c r="G28" s="38">
        <v>18</v>
      </c>
      <c r="H28" s="38">
        <v>2</v>
      </c>
      <c r="I28" s="48">
        <v>2</v>
      </c>
    </row>
    <row r="29" spans="1:27" x14ac:dyDescent="0.3">
      <c r="A29" s="44" t="s">
        <v>367</v>
      </c>
      <c r="B29" s="58" t="s">
        <v>659</v>
      </c>
      <c r="C29" s="58"/>
      <c r="D29" s="58" t="s">
        <v>660</v>
      </c>
      <c r="E29" s="58"/>
      <c r="F29" s="41" t="s">
        <v>626</v>
      </c>
      <c r="G29" s="42">
        <v>18</v>
      </c>
      <c r="H29" s="42">
        <v>2</v>
      </c>
      <c r="I29" s="50">
        <v>2</v>
      </c>
    </row>
    <row r="30" spans="1:27" x14ac:dyDescent="0.3">
      <c r="A30" s="52"/>
      <c r="B30" s="57"/>
      <c r="C30" s="57"/>
      <c r="D30" s="57"/>
      <c r="E30" s="57"/>
      <c r="F30" s="53" t="s">
        <v>363</v>
      </c>
      <c r="G30" s="53">
        <f ca="1">IF(SUMIF($A$12:$I$29,"UE",$G$12:$G$29)&lt;=0,"-",SUMIF($A$12:$I$29,"UE",$G$12:$G$29))</f>
        <v>46.5</v>
      </c>
      <c r="H30" s="53">
        <f ca="1">IF(SUMIF($A$12:$I$29,"UE",$H$12:$H$29)&lt;=0,"-",SUMIF($A$12:$I$29,"UE",$H$12:$H$29))</f>
        <v>37</v>
      </c>
      <c r="I30" s="54">
        <f ca="1">IF(SUMIF($A$12:$I$29,"UE",$I$12:$I$29)&lt;=0,"-",SUMIF($A$12:$I$29,"UE",$I$12:$I$29))</f>
        <v>8</v>
      </c>
    </row>
  </sheetData>
  <mergeCells count="148">
    <mergeCell ref="F7:G7"/>
    <mergeCell ref="E8:G8"/>
    <mergeCell ref="A7:B7"/>
    <mergeCell ref="A8:B8"/>
    <mergeCell ref="B10:C11"/>
    <mergeCell ref="D10:E11"/>
    <mergeCell ref="F10:F11"/>
    <mergeCell ref="G10:G11"/>
    <mergeCell ref="A1:C3"/>
    <mergeCell ref="E3:F3"/>
    <mergeCell ref="F1:I1"/>
    <mergeCell ref="F2:I2"/>
    <mergeCell ref="A6:B6"/>
    <mergeCell ref="E6:G6"/>
    <mergeCell ref="B14:C14"/>
    <mergeCell ref="D14:E14"/>
    <mergeCell ref="B15:C15"/>
    <mergeCell ref="D15:E15"/>
    <mergeCell ref="B16:C16"/>
    <mergeCell ref="D16:E16"/>
    <mergeCell ref="H10:H11"/>
    <mergeCell ref="I10:I11"/>
    <mergeCell ref="B12:C12"/>
    <mergeCell ref="D12:E12"/>
    <mergeCell ref="B13:C13"/>
    <mergeCell ref="D13:E13"/>
    <mergeCell ref="B21:C21"/>
    <mergeCell ref="D21:E21"/>
    <mergeCell ref="B22:C22"/>
    <mergeCell ref="D22:E22"/>
    <mergeCell ref="B17:C17"/>
    <mergeCell ref="D17:E17"/>
    <mergeCell ref="B18:C18"/>
    <mergeCell ref="D18:E18"/>
    <mergeCell ref="B19:C19"/>
    <mergeCell ref="D19:E19"/>
    <mergeCell ref="B29:C29"/>
    <mergeCell ref="D29:E29"/>
    <mergeCell ref="B30:C30"/>
    <mergeCell ref="D30:E30"/>
    <mergeCell ref="J1:L3"/>
    <mergeCell ref="N3:O3"/>
    <mergeCell ref="O1:R1"/>
    <mergeCell ref="O2:R2"/>
    <mergeCell ref="J6:K6"/>
    <mergeCell ref="N6:P6"/>
    <mergeCell ref="B26:C26"/>
    <mergeCell ref="D26:E26"/>
    <mergeCell ref="B27:C27"/>
    <mergeCell ref="D27:E27"/>
    <mergeCell ref="B28:C28"/>
    <mergeCell ref="D28:E28"/>
    <mergeCell ref="B23:C23"/>
    <mergeCell ref="D23:E23"/>
    <mergeCell ref="B24:C24"/>
    <mergeCell ref="D24:E24"/>
    <mergeCell ref="B25:C25"/>
    <mergeCell ref="D25:E25"/>
    <mergeCell ref="B20:C20"/>
    <mergeCell ref="D20:E20"/>
    <mergeCell ref="Q10:Q11"/>
    <mergeCell ref="R10:R11"/>
    <mergeCell ref="K12:L12"/>
    <mergeCell ref="M12:N12"/>
    <mergeCell ref="K13:L13"/>
    <mergeCell ref="M13:N13"/>
    <mergeCell ref="O7:P7"/>
    <mergeCell ref="N8:P8"/>
    <mergeCell ref="J7:K7"/>
    <mergeCell ref="J8:K8"/>
    <mergeCell ref="K10:L11"/>
    <mergeCell ref="M10:N11"/>
    <mergeCell ref="O10:O11"/>
    <mergeCell ref="P10:P11"/>
    <mergeCell ref="K18:L18"/>
    <mergeCell ref="M18:N18"/>
    <mergeCell ref="K19:L19"/>
    <mergeCell ref="M19:N19"/>
    <mergeCell ref="K14:L14"/>
    <mergeCell ref="M14:N14"/>
    <mergeCell ref="K15:L15"/>
    <mergeCell ref="M15:N15"/>
    <mergeCell ref="K16:L16"/>
    <mergeCell ref="M16:N16"/>
    <mergeCell ref="K26:L26"/>
    <mergeCell ref="M26:N26"/>
    <mergeCell ref="K27:L27"/>
    <mergeCell ref="M27:N27"/>
    <mergeCell ref="S1:U3"/>
    <mergeCell ref="W3:X3"/>
    <mergeCell ref="X1:AA1"/>
    <mergeCell ref="X2:AA2"/>
    <mergeCell ref="S6:T6"/>
    <mergeCell ref="W6:Y6"/>
    <mergeCell ref="K23:L23"/>
    <mergeCell ref="M23:N23"/>
    <mergeCell ref="K24:L24"/>
    <mergeCell ref="M24:N24"/>
    <mergeCell ref="K25:L25"/>
    <mergeCell ref="M25:N25"/>
    <mergeCell ref="K20:L20"/>
    <mergeCell ref="M20:N20"/>
    <mergeCell ref="K21:L21"/>
    <mergeCell ref="M21:N21"/>
    <mergeCell ref="K22:L22"/>
    <mergeCell ref="M22:N22"/>
    <mergeCell ref="K17:L17"/>
    <mergeCell ref="M17:N17"/>
    <mergeCell ref="Z10:Z11"/>
    <mergeCell ref="AA10:AA11"/>
    <mergeCell ref="T12:U12"/>
    <mergeCell ref="V12:W12"/>
    <mergeCell ref="T13:U13"/>
    <mergeCell ref="V13:W13"/>
    <mergeCell ref="X7:Y7"/>
    <mergeCell ref="W8:Y8"/>
    <mergeCell ref="S7:T7"/>
    <mergeCell ref="S8:T8"/>
    <mergeCell ref="T10:U11"/>
    <mergeCell ref="V10:W11"/>
    <mergeCell ref="X10:X11"/>
    <mergeCell ref="Y10:Y11"/>
    <mergeCell ref="T17:U17"/>
    <mergeCell ref="V17:W17"/>
    <mergeCell ref="T18:U18"/>
    <mergeCell ref="V18:W18"/>
    <mergeCell ref="T19:U19"/>
    <mergeCell ref="V19:W19"/>
    <mergeCell ref="T14:U14"/>
    <mergeCell ref="V14:W14"/>
    <mergeCell ref="T15:U15"/>
    <mergeCell ref="V15:W15"/>
    <mergeCell ref="T16:U16"/>
    <mergeCell ref="V16:W16"/>
    <mergeCell ref="T26:U26"/>
    <mergeCell ref="V26:W26"/>
    <mergeCell ref="T23:U23"/>
    <mergeCell ref="V23:W23"/>
    <mergeCell ref="T24:U24"/>
    <mergeCell ref="V24:W24"/>
    <mergeCell ref="T25:U25"/>
    <mergeCell ref="V25:W25"/>
    <mergeCell ref="T20:U20"/>
    <mergeCell ref="V20:W20"/>
    <mergeCell ref="T21:U21"/>
    <mergeCell ref="V21:W21"/>
    <mergeCell ref="T22:U22"/>
    <mergeCell ref="V22:W22"/>
  </mergeCells>
  <pageMargins left="0.7" right="0.7" top="0.75" bottom="0.75" header="0.3" footer="0.3"/>
  <pageSetup paperSize="9" orientation="portrait" horizontalDpi="0" verticalDpi="0" r:id="rId1"/>
  <headerFooter>
    <oddFooter>&amp;L&amp;K525252 Campus HELHa
Département Économique et Social&amp;R&amp;K525252 &amp;P / &amp;N</oddFooter>
  </headerFooter>
</worksheet>
</file>

<file path=customUI/customUI.xml><?xml version="1.0" encoding="utf-8"?>
<customUI xmlns="http://schemas.microsoft.com/office/2006/01/customui">
  <ribbon>
    <tabs>
      <tab id="AxenFlowTab" label="AxenFlow">
        <group id="AxenFlowGroup" label="Application">
          <button id="LaunchButton" label="Lancer" size="large" imageMso="MacroPlay" onAction="LaunchApp"/>
          <button id="ReLaunchButton" label="Relancer" size="large" imageMso="ObjectRotateFree" onAction="RelaunchApp"/>
          <button id="StopButton" label="Stoper" size="large" imageMso="MacroRecorderStop" onAction="StopApp"/>
        </group>
        <group id="GestionDataGroup" label="Gestion des Données">
          <button id="EtudiantsButton" label="Étudiants" size="large" imageMso="GroupMembers" onAction="ManageStudentPage"/>
          <button id="EnseignantsButton" label="Enseignants" size="large" imageMso="GroupMembers" onAction="ManageTeacherPage"/>
          <button id="MissionsButton" label="Missions" size="large" imageMso="GroupTableLayout" onAction="ManageMissionsPage"/>
          <button id="GrillePointsButton" label="Grille Points" size="large" imageMso="GroupTableLayout" onAction="ManageNotePage"/>
        </group>
        <group id="EmailGroup" label="Email">
          <button id="SendEmailButton" label="Envoyer Email" size="large" imageMso="MailMergeStartEmail" onAction="SendEmailPage"/>
        </group>
        <group id="ExportationGroup" label="Exportation">
          <button id="ExportButton" label="Exporter en xlsx" size="large" imageMso="ExportExcel" onAction="ExportAllSheets"/>
        </group>
        <group id="AutresGroup" label="Autres">
          <button id="DeleteAllSheetsButton" label="Supprimer toutes les feuilles" size="large" imageMso="Delete" onAction="DeleteAllSheets"/>
        </group>
        <group id="InfoAideGroup" label="Info et Aide">
          <button id="InfoButton" label="Info" size="large" imageMso="Info" onAction="ShowInfo"/>
          <button id="AideButton" label="Aide" size="large" imageMso="Help" onAction="ShowHelp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Enseignants</vt:lpstr>
      <vt:lpstr>Etudiants</vt:lpstr>
      <vt:lpstr>IntervenantsMissions</vt:lpstr>
      <vt:lpstr>GrillePoints</vt:lpstr>
      <vt:lpstr>Preview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2025-05-13T16:46:01Z</cp:lastPrinted>
  <dcterms:created xsi:type="dcterms:W3CDTF">2025-01-22T07:46:47Z</dcterms:created>
  <dcterms:modified xsi:type="dcterms:W3CDTF">2025-05-13T21:12:49Z</dcterms:modified>
</cp:coreProperties>
</file>